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Anshit\Desktop\Excel Project\"/>
    </mc:Choice>
  </mc:AlternateContent>
  <xr:revisionPtr revIDLastSave="0" documentId="13_ncr:1_{E11B0F67-26D1-4E93-AD49-0728A924834A}" xr6:coauthVersionLast="47" xr6:coauthVersionMax="47" xr10:uidLastSave="{00000000-0000-0000-0000-000000000000}"/>
  <bookViews>
    <workbookView xWindow="-110" yWindow="-110" windowWidth="19420" windowHeight="10300" xr2:uid="{FEE79F9B-23E9-478E-9970-BACC34704279}"/>
  </bookViews>
  <sheets>
    <sheet name="Final Dashboard" sheetId="9" r:id="rId1"/>
    <sheet name="RAW DATA" sheetId="1" r:id="rId2"/>
    <sheet name="Clean Data" sheetId="11" r:id="rId3"/>
    <sheet name="KPI" sheetId="2" r:id="rId4"/>
    <sheet name="Monthly Sales Analysis" sheetId="14" r:id="rId5"/>
    <sheet name="Age Group Analysis" sheetId="13" r:id="rId6"/>
    <sheet name="Sales(Product) 2" sheetId="16" r:id="rId7"/>
    <sheet name="Top 20% Customers" sheetId="6" r:id="rId8"/>
    <sheet name="Quarter" sheetId="17" r:id="rId9"/>
    <sheet name="Repeated Customers" sheetId="15" r:id="rId10"/>
  </sheets>
  <definedNames>
    <definedName name="_xlnm._FilterDatabase" localSheetId="2" hidden="1">'Clean Data'!$A$1:$S$501</definedName>
    <definedName name="_xlnm._FilterDatabase" localSheetId="1" hidden="1">'RAW DATA'!$A$1:$M$501</definedName>
    <definedName name="Slicer_country">#N/A</definedName>
    <definedName name="Slicer_Quarters__order_date">#N/A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501" i="11" l="1"/>
  <c r="L501" i="11"/>
  <c r="M500" i="11"/>
  <c r="L500" i="11"/>
  <c r="M499" i="11"/>
  <c r="L499" i="11"/>
  <c r="M498" i="11"/>
  <c r="L498" i="11"/>
  <c r="M497" i="11"/>
  <c r="L497" i="11"/>
  <c r="M496" i="11"/>
  <c r="L496" i="11"/>
  <c r="M495" i="11"/>
  <c r="L495" i="11"/>
  <c r="M494" i="11"/>
  <c r="L494" i="11"/>
  <c r="M493" i="11"/>
  <c r="L493" i="11"/>
  <c r="M492" i="11"/>
  <c r="L492" i="11"/>
  <c r="M491" i="11"/>
  <c r="L491" i="11"/>
  <c r="M490" i="11"/>
  <c r="L490" i="11"/>
  <c r="M489" i="11"/>
  <c r="L489" i="11"/>
  <c r="M488" i="11"/>
  <c r="L488" i="11"/>
  <c r="M487" i="11"/>
  <c r="L487" i="11"/>
  <c r="M486" i="11"/>
  <c r="L486" i="11"/>
  <c r="M485" i="11"/>
  <c r="L485" i="11"/>
  <c r="M484" i="11"/>
  <c r="L484" i="11"/>
  <c r="M483" i="11"/>
  <c r="L483" i="11"/>
  <c r="M482" i="11"/>
  <c r="L482" i="11"/>
  <c r="M481" i="11"/>
  <c r="L481" i="11"/>
  <c r="M480" i="11"/>
  <c r="L480" i="11"/>
  <c r="M479" i="11"/>
  <c r="L479" i="11"/>
  <c r="M478" i="11"/>
  <c r="L478" i="11"/>
  <c r="M477" i="11"/>
  <c r="L477" i="11"/>
  <c r="M476" i="11"/>
  <c r="L476" i="11"/>
  <c r="M475" i="11"/>
  <c r="L475" i="11"/>
  <c r="M474" i="11"/>
  <c r="L474" i="11"/>
  <c r="M473" i="11"/>
  <c r="L473" i="11"/>
  <c r="M472" i="11"/>
  <c r="L472" i="11"/>
  <c r="M471" i="11"/>
  <c r="L471" i="11"/>
  <c r="M470" i="11"/>
  <c r="L470" i="11"/>
  <c r="M469" i="11"/>
  <c r="L469" i="11"/>
  <c r="M468" i="11"/>
  <c r="L468" i="11"/>
  <c r="M467" i="11"/>
  <c r="L467" i="11"/>
  <c r="M466" i="11"/>
  <c r="L466" i="11"/>
  <c r="M465" i="11"/>
  <c r="L465" i="11"/>
  <c r="M464" i="11"/>
  <c r="L464" i="11"/>
  <c r="M463" i="11"/>
  <c r="L463" i="11"/>
  <c r="M462" i="11"/>
  <c r="L462" i="11"/>
  <c r="M461" i="11"/>
  <c r="L461" i="11"/>
  <c r="M460" i="11"/>
  <c r="L460" i="11"/>
  <c r="M459" i="11"/>
  <c r="L459" i="11"/>
  <c r="M458" i="11"/>
  <c r="L458" i="11"/>
  <c r="M457" i="11"/>
  <c r="L457" i="11"/>
  <c r="M456" i="11"/>
  <c r="L456" i="11"/>
  <c r="M455" i="11"/>
  <c r="L455" i="11"/>
  <c r="M454" i="11"/>
  <c r="L454" i="11"/>
  <c r="M453" i="11"/>
  <c r="L453" i="11"/>
  <c r="M452" i="11"/>
  <c r="L452" i="11"/>
  <c r="M451" i="11"/>
  <c r="L451" i="11"/>
  <c r="M450" i="11"/>
  <c r="L450" i="11"/>
  <c r="M449" i="11"/>
  <c r="L449" i="11"/>
  <c r="M448" i="11"/>
  <c r="L448" i="11"/>
  <c r="M447" i="11"/>
  <c r="L447" i="11"/>
  <c r="M446" i="11"/>
  <c r="L446" i="11"/>
  <c r="M445" i="11"/>
  <c r="L445" i="11"/>
  <c r="M444" i="11"/>
  <c r="L444" i="11"/>
  <c r="M443" i="11"/>
  <c r="L443" i="11"/>
  <c r="M442" i="11"/>
  <c r="L442" i="11"/>
  <c r="M441" i="11"/>
  <c r="L441" i="11"/>
  <c r="M440" i="11"/>
  <c r="L440" i="11"/>
  <c r="M439" i="11"/>
  <c r="L439" i="11"/>
  <c r="M438" i="11"/>
  <c r="L438" i="11"/>
  <c r="M437" i="11"/>
  <c r="L437" i="11"/>
  <c r="M436" i="11"/>
  <c r="L436" i="11"/>
  <c r="M435" i="11"/>
  <c r="L435" i="11"/>
  <c r="M434" i="11"/>
  <c r="L434" i="11"/>
  <c r="M433" i="11"/>
  <c r="L433" i="11"/>
  <c r="M432" i="11"/>
  <c r="L432" i="11"/>
  <c r="M431" i="11"/>
  <c r="L431" i="11"/>
  <c r="M430" i="11"/>
  <c r="L430" i="11"/>
  <c r="M429" i="11"/>
  <c r="L429" i="11"/>
  <c r="M428" i="11"/>
  <c r="L428" i="11"/>
  <c r="M427" i="11"/>
  <c r="L427" i="11"/>
  <c r="M426" i="11"/>
  <c r="L426" i="11"/>
  <c r="M425" i="11"/>
  <c r="L425" i="11"/>
  <c r="M424" i="11"/>
  <c r="L424" i="11"/>
  <c r="M423" i="11"/>
  <c r="L423" i="11"/>
  <c r="M422" i="11"/>
  <c r="L422" i="11"/>
  <c r="M421" i="11"/>
  <c r="L421" i="11"/>
  <c r="M420" i="11"/>
  <c r="L420" i="11"/>
  <c r="M419" i="11"/>
  <c r="L419" i="11"/>
  <c r="M418" i="11"/>
  <c r="L418" i="11"/>
  <c r="M417" i="11"/>
  <c r="L417" i="11"/>
  <c r="M416" i="11"/>
  <c r="L416" i="11"/>
  <c r="M415" i="11"/>
  <c r="L415" i="11"/>
  <c r="M414" i="11"/>
  <c r="L414" i="11"/>
  <c r="M413" i="11"/>
  <c r="L413" i="11"/>
  <c r="M412" i="11"/>
  <c r="L412" i="11"/>
  <c r="M411" i="11"/>
  <c r="L411" i="11"/>
  <c r="M410" i="11"/>
  <c r="L410" i="11"/>
  <c r="M409" i="11"/>
  <c r="L409" i="11"/>
  <c r="M408" i="11"/>
  <c r="L408" i="11"/>
  <c r="M407" i="11"/>
  <c r="L407" i="11"/>
  <c r="M406" i="11"/>
  <c r="L406" i="11"/>
  <c r="M405" i="11"/>
  <c r="L405" i="11"/>
  <c r="M404" i="11"/>
  <c r="L404" i="11"/>
  <c r="M403" i="11"/>
  <c r="L403" i="11"/>
  <c r="M402" i="11"/>
  <c r="L402" i="11"/>
  <c r="M401" i="11"/>
  <c r="L401" i="11"/>
  <c r="M400" i="11"/>
  <c r="L400" i="11"/>
  <c r="M399" i="11"/>
  <c r="L399" i="11"/>
  <c r="M398" i="11"/>
  <c r="L398" i="11"/>
  <c r="M397" i="11"/>
  <c r="L397" i="11"/>
  <c r="M396" i="11"/>
  <c r="L396" i="11"/>
  <c r="M395" i="11"/>
  <c r="L395" i="11"/>
  <c r="M394" i="11"/>
  <c r="L394" i="11"/>
  <c r="M393" i="11"/>
  <c r="L393" i="11"/>
  <c r="M392" i="11"/>
  <c r="L392" i="11"/>
  <c r="M391" i="11"/>
  <c r="L391" i="11"/>
  <c r="M390" i="11"/>
  <c r="L390" i="11"/>
  <c r="M389" i="11"/>
  <c r="L389" i="11"/>
  <c r="M388" i="11"/>
  <c r="L388" i="11"/>
  <c r="M387" i="11"/>
  <c r="L387" i="11"/>
  <c r="M386" i="11"/>
  <c r="L386" i="11"/>
  <c r="M385" i="11"/>
  <c r="L385" i="11"/>
  <c r="M384" i="11"/>
  <c r="L384" i="11"/>
  <c r="M383" i="11"/>
  <c r="L383" i="11"/>
  <c r="M382" i="11"/>
  <c r="L382" i="11"/>
  <c r="M381" i="11"/>
  <c r="L381" i="11"/>
  <c r="M380" i="11"/>
  <c r="L380" i="11"/>
  <c r="M379" i="11"/>
  <c r="L379" i="11"/>
  <c r="M378" i="11"/>
  <c r="L378" i="11"/>
  <c r="M377" i="11"/>
  <c r="L377" i="11"/>
  <c r="M376" i="11"/>
  <c r="L376" i="11"/>
  <c r="M375" i="11"/>
  <c r="L375" i="11"/>
  <c r="M374" i="11"/>
  <c r="L374" i="11"/>
  <c r="M373" i="11"/>
  <c r="L373" i="11"/>
  <c r="M372" i="11"/>
  <c r="L372" i="11"/>
  <c r="M371" i="11"/>
  <c r="L371" i="11"/>
  <c r="M370" i="11"/>
  <c r="L370" i="11"/>
  <c r="M369" i="11"/>
  <c r="L369" i="11"/>
  <c r="M368" i="11"/>
  <c r="L368" i="11"/>
  <c r="M367" i="11"/>
  <c r="L367" i="11"/>
  <c r="M366" i="11"/>
  <c r="L366" i="11"/>
  <c r="M365" i="11"/>
  <c r="L365" i="11"/>
  <c r="M364" i="11"/>
  <c r="L364" i="11"/>
  <c r="M363" i="11"/>
  <c r="L363" i="11"/>
  <c r="M362" i="11"/>
  <c r="L362" i="11"/>
  <c r="M361" i="11"/>
  <c r="L361" i="11"/>
  <c r="M360" i="11"/>
  <c r="L360" i="11"/>
  <c r="M359" i="11"/>
  <c r="L359" i="11"/>
  <c r="M358" i="11"/>
  <c r="L358" i="11"/>
  <c r="M357" i="11"/>
  <c r="L357" i="11"/>
  <c r="M356" i="11"/>
  <c r="L356" i="11"/>
  <c r="M355" i="11"/>
  <c r="L355" i="11"/>
  <c r="M354" i="11"/>
  <c r="L354" i="11"/>
  <c r="M353" i="11"/>
  <c r="L353" i="11"/>
  <c r="M352" i="11"/>
  <c r="L352" i="11"/>
  <c r="M351" i="11"/>
  <c r="L351" i="11"/>
  <c r="M350" i="11"/>
  <c r="L350" i="11"/>
  <c r="M349" i="11"/>
  <c r="L349" i="11"/>
  <c r="M348" i="11"/>
  <c r="L348" i="11"/>
  <c r="M347" i="11"/>
  <c r="L347" i="11"/>
  <c r="M346" i="11"/>
  <c r="L346" i="11"/>
  <c r="M345" i="11"/>
  <c r="L345" i="11"/>
  <c r="M344" i="11"/>
  <c r="L344" i="11"/>
  <c r="M343" i="11"/>
  <c r="L343" i="11"/>
  <c r="M342" i="11"/>
  <c r="L342" i="11"/>
  <c r="M341" i="11"/>
  <c r="L341" i="11"/>
  <c r="M340" i="11"/>
  <c r="L340" i="11"/>
  <c r="M339" i="11"/>
  <c r="L339" i="11"/>
  <c r="M338" i="11"/>
  <c r="L338" i="11"/>
  <c r="M337" i="11"/>
  <c r="L337" i="11"/>
  <c r="M336" i="11"/>
  <c r="L336" i="11"/>
  <c r="M335" i="11"/>
  <c r="L335" i="11"/>
  <c r="M334" i="11"/>
  <c r="L334" i="11"/>
  <c r="M333" i="11"/>
  <c r="L333" i="11"/>
  <c r="M332" i="11"/>
  <c r="L332" i="11"/>
  <c r="M331" i="11"/>
  <c r="L331" i="11"/>
  <c r="M330" i="11"/>
  <c r="L330" i="11"/>
  <c r="M329" i="11"/>
  <c r="L329" i="11"/>
  <c r="M328" i="11"/>
  <c r="L328" i="11"/>
  <c r="M327" i="11"/>
  <c r="L327" i="11"/>
  <c r="M326" i="11"/>
  <c r="L326" i="11"/>
  <c r="M325" i="11"/>
  <c r="L325" i="11"/>
  <c r="M324" i="11"/>
  <c r="L324" i="11"/>
  <c r="M323" i="11"/>
  <c r="L323" i="11"/>
  <c r="M322" i="11"/>
  <c r="L322" i="11"/>
  <c r="M321" i="11"/>
  <c r="L321" i="11"/>
  <c r="M320" i="11"/>
  <c r="L320" i="11"/>
  <c r="M319" i="11"/>
  <c r="L319" i="11"/>
  <c r="M318" i="11"/>
  <c r="L318" i="11"/>
  <c r="M317" i="11"/>
  <c r="L317" i="11"/>
  <c r="M316" i="11"/>
  <c r="L316" i="11"/>
  <c r="M315" i="11"/>
  <c r="L315" i="11"/>
  <c r="M314" i="11"/>
  <c r="L314" i="11"/>
  <c r="M313" i="11"/>
  <c r="L313" i="11"/>
  <c r="M312" i="11"/>
  <c r="L312" i="11"/>
  <c r="M311" i="11"/>
  <c r="L311" i="11"/>
  <c r="M310" i="11"/>
  <c r="L310" i="11"/>
  <c r="M309" i="11"/>
  <c r="L309" i="11"/>
  <c r="M308" i="11"/>
  <c r="L308" i="11"/>
  <c r="M307" i="11"/>
  <c r="L307" i="11"/>
  <c r="M306" i="11"/>
  <c r="L306" i="11"/>
  <c r="M305" i="11"/>
  <c r="L305" i="11"/>
  <c r="M304" i="11"/>
  <c r="L304" i="11"/>
  <c r="M303" i="11"/>
  <c r="L303" i="11"/>
  <c r="M302" i="11"/>
  <c r="L302" i="11"/>
  <c r="M301" i="11"/>
  <c r="L301" i="11"/>
  <c r="M300" i="11"/>
  <c r="L300" i="11"/>
  <c r="M299" i="11"/>
  <c r="L299" i="11"/>
  <c r="M298" i="11"/>
  <c r="L298" i="11"/>
  <c r="M297" i="11"/>
  <c r="L297" i="11"/>
  <c r="M296" i="11"/>
  <c r="L296" i="11"/>
  <c r="M295" i="11"/>
  <c r="L295" i="11"/>
  <c r="M294" i="11"/>
  <c r="L294" i="11"/>
  <c r="M293" i="11"/>
  <c r="L293" i="11"/>
  <c r="M292" i="11"/>
  <c r="L292" i="11"/>
  <c r="M291" i="11"/>
  <c r="L291" i="11"/>
  <c r="M290" i="11"/>
  <c r="L290" i="11"/>
  <c r="M289" i="11"/>
  <c r="L289" i="11"/>
  <c r="M288" i="11"/>
  <c r="L288" i="11"/>
  <c r="M287" i="11"/>
  <c r="L287" i="11"/>
  <c r="M286" i="11"/>
  <c r="L286" i="11"/>
  <c r="M285" i="11"/>
  <c r="L285" i="11"/>
  <c r="M284" i="11"/>
  <c r="L284" i="11"/>
  <c r="M283" i="11"/>
  <c r="L283" i="11"/>
  <c r="M282" i="11"/>
  <c r="L282" i="11"/>
  <c r="M281" i="11"/>
  <c r="L281" i="11"/>
  <c r="M280" i="11"/>
  <c r="L280" i="11"/>
  <c r="M279" i="11"/>
  <c r="L279" i="11"/>
  <c r="M278" i="11"/>
  <c r="L278" i="11"/>
  <c r="M277" i="11"/>
  <c r="L277" i="11"/>
  <c r="M276" i="11"/>
  <c r="L276" i="11"/>
  <c r="M275" i="11"/>
  <c r="L275" i="11"/>
  <c r="M274" i="11"/>
  <c r="L274" i="11"/>
  <c r="M273" i="11"/>
  <c r="L273" i="11"/>
  <c r="M272" i="11"/>
  <c r="L272" i="11"/>
  <c r="M271" i="11"/>
  <c r="L271" i="11"/>
  <c r="M270" i="11"/>
  <c r="L270" i="11"/>
  <c r="M269" i="11"/>
  <c r="L269" i="11"/>
  <c r="M268" i="11"/>
  <c r="L268" i="11"/>
  <c r="M267" i="11"/>
  <c r="L267" i="11"/>
  <c r="M266" i="11"/>
  <c r="L266" i="11"/>
  <c r="M265" i="11"/>
  <c r="L265" i="11"/>
  <c r="M264" i="11"/>
  <c r="L264" i="11"/>
  <c r="M263" i="11"/>
  <c r="L263" i="11"/>
  <c r="M262" i="11"/>
  <c r="L262" i="11"/>
  <c r="M261" i="11"/>
  <c r="L261" i="11"/>
  <c r="M260" i="11"/>
  <c r="L260" i="11"/>
  <c r="M259" i="11"/>
  <c r="L259" i="11"/>
  <c r="M258" i="11"/>
  <c r="L258" i="11"/>
  <c r="M257" i="11"/>
  <c r="L257" i="11"/>
  <c r="M256" i="11"/>
  <c r="L256" i="11"/>
  <c r="M255" i="11"/>
  <c r="L255" i="11"/>
  <c r="M254" i="11"/>
  <c r="L254" i="11"/>
  <c r="M253" i="11"/>
  <c r="L253" i="11"/>
  <c r="M252" i="11"/>
  <c r="L252" i="11"/>
  <c r="M251" i="11"/>
  <c r="L251" i="11"/>
  <c r="M250" i="11"/>
  <c r="L250" i="11"/>
  <c r="M249" i="11"/>
  <c r="L249" i="11"/>
  <c r="M248" i="11"/>
  <c r="L248" i="11"/>
  <c r="M247" i="11"/>
  <c r="L247" i="11"/>
  <c r="M246" i="11"/>
  <c r="L246" i="11"/>
  <c r="M245" i="11"/>
  <c r="L245" i="11"/>
  <c r="M244" i="11"/>
  <c r="L244" i="11"/>
  <c r="M243" i="11"/>
  <c r="L243" i="11"/>
  <c r="M242" i="11"/>
  <c r="L242" i="11"/>
  <c r="M241" i="11"/>
  <c r="L241" i="11"/>
  <c r="M240" i="11"/>
  <c r="L240" i="11"/>
  <c r="M239" i="11"/>
  <c r="L239" i="11"/>
  <c r="M238" i="11"/>
  <c r="L238" i="11"/>
  <c r="M237" i="11"/>
  <c r="L237" i="11"/>
  <c r="M236" i="11"/>
  <c r="L236" i="11"/>
  <c r="M235" i="11"/>
  <c r="L235" i="11"/>
  <c r="M234" i="11"/>
  <c r="L234" i="11"/>
  <c r="M233" i="11"/>
  <c r="L233" i="11"/>
  <c r="M232" i="11"/>
  <c r="L232" i="11"/>
  <c r="M231" i="11"/>
  <c r="L231" i="11"/>
  <c r="M230" i="11"/>
  <c r="L230" i="11"/>
  <c r="M229" i="11"/>
  <c r="L229" i="11"/>
  <c r="M228" i="11"/>
  <c r="L228" i="11"/>
  <c r="M227" i="11"/>
  <c r="L227" i="11"/>
  <c r="M226" i="11"/>
  <c r="L226" i="11"/>
  <c r="M225" i="11"/>
  <c r="L225" i="11"/>
  <c r="M224" i="11"/>
  <c r="L224" i="11"/>
  <c r="M223" i="11"/>
  <c r="L223" i="11"/>
  <c r="M222" i="11"/>
  <c r="L222" i="11"/>
  <c r="M221" i="11"/>
  <c r="L221" i="11"/>
  <c r="M220" i="11"/>
  <c r="L220" i="11"/>
  <c r="M219" i="11"/>
  <c r="L219" i="11"/>
  <c r="M218" i="11"/>
  <c r="L218" i="11"/>
  <c r="M217" i="11"/>
  <c r="L217" i="11"/>
  <c r="M216" i="11"/>
  <c r="L216" i="11"/>
  <c r="M215" i="11"/>
  <c r="L215" i="11"/>
  <c r="M214" i="11"/>
  <c r="L214" i="11"/>
  <c r="M213" i="11"/>
  <c r="L213" i="11"/>
  <c r="M212" i="11"/>
  <c r="L212" i="11"/>
  <c r="M211" i="11"/>
  <c r="L211" i="11"/>
  <c r="M210" i="11"/>
  <c r="L210" i="11"/>
  <c r="M209" i="11"/>
  <c r="L209" i="11"/>
  <c r="M208" i="11"/>
  <c r="L208" i="11"/>
  <c r="M207" i="11"/>
  <c r="L207" i="11"/>
  <c r="M206" i="11"/>
  <c r="L206" i="11"/>
  <c r="M205" i="11"/>
  <c r="L205" i="11"/>
  <c r="M204" i="11"/>
  <c r="L204" i="11"/>
  <c r="M203" i="11"/>
  <c r="L203" i="11"/>
  <c r="M202" i="11"/>
  <c r="L202" i="11"/>
  <c r="M201" i="11"/>
  <c r="L201" i="11"/>
  <c r="M200" i="11"/>
  <c r="L200" i="11"/>
  <c r="M199" i="11"/>
  <c r="L199" i="11"/>
  <c r="M198" i="11"/>
  <c r="L198" i="11"/>
  <c r="M197" i="11"/>
  <c r="L197" i="11"/>
  <c r="M196" i="11"/>
  <c r="L196" i="11"/>
  <c r="M195" i="11"/>
  <c r="L195" i="11"/>
  <c r="M194" i="11"/>
  <c r="L194" i="11"/>
  <c r="M193" i="11"/>
  <c r="L193" i="11"/>
  <c r="M192" i="11"/>
  <c r="L192" i="11"/>
  <c r="M191" i="11"/>
  <c r="L191" i="11"/>
  <c r="M190" i="11"/>
  <c r="L190" i="11"/>
  <c r="M189" i="11"/>
  <c r="L189" i="11"/>
  <c r="M188" i="11"/>
  <c r="L188" i="11"/>
  <c r="M187" i="11"/>
  <c r="L187" i="11"/>
  <c r="M186" i="11"/>
  <c r="L186" i="11"/>
  <c r="M185" i="11"/>
  <c r="L185" i="11"/>
  <c r="M184" i="11"/>
  <c r="L184" i="11"/>
  <c r="M183" i="11"/>
  <c r="L183" i="11"/>
  <c r="M182" i="11"/>
  <c r="L182" i="11"/>
  <c r="M181" i="11"/>
  <c r="L181" i="11"/>
  <c r="M180" i="11"/>
  <c r="L180" i="11"/>
  <c r="M179" i="11"/>
  <c r="L179" i="11"/>
  <c r="M178" i="11"/>
  <c r="L178" i="11"/>
  <c r="M177" i="11"/>
  <c r="L177" i="11"/>
  <c r="M176" i="11"/>
  <c r="L176" i="11"/>
  <c r="M175" i="11"/>
  <c r="L175" i="11"/>
  <c r="M174" i="11"/>
  <c r="L174" i="11"/>
  <c r="M173" i="11"/>
  <c r="L173" i="11"/>
  <c r="M172" i="11"/>
  <c r="L172" i="11"/>
  <c r="M171" i="11"/>
  <c r="L171" i="11"/>
  <c r="M170" i="11"/>
  <c r="L170" i="11"/>
  <c r="M169" i="11"/>
  <c r="L169" i="11"/>
  <c r="M168" i="11"/>
  <c r="L168" i="11"/>
  <c r="M167" i="11"/>
  <c r="L167" i="11"/>
  <c r="M166" i="11"/>
  <c r="L166" i="11"/>
  <c r="M165" i="11"/>
  <c r="L165" i="11"/>
  <c r="M164" i="11"/>
  <c r="L164" i="11"/>
  <c r="M163" i="11"/>
  <c r="L163" i="11"/>
  <c r="M162" i="11"/>
  <c r="L162" i="11"/>
  <c r="M161" i="11"/>
  <c r="L161" i="11"/>
  <c r="M160" i="11"/>
  <c r="L160" i="11"/>
  <c r="M159" i="11"/>
  <c r="L159" i="11"/>
  <c r="M158" i="11"/>
  <c r="L158" i="11"/>
  <c r="M157" i="11"/>
  <c r="L157" i="11"/>
  <c r="M156" i="11"/>
  <c r="L156" i="11"/>
  <c r="M155" i="11"/>
  <c r="L155" i="11"/>
  <c r="M154" i="11"/>
  <c r="L154" i="11"/>
  <c r="M153" i="11"/>
  <c r="L153" i="11"/>
  <c r="M152" i="11"/>
  <c r="L152" i="11"/>
  <c r="M151" i="11"/>
  <c r="L151" i="11"/>
  <c r="M150" i="11"/>
  <c r="L150" i="11"/>
  <c r="M149" i="11"/>
  <c r="L149" i="11"/>
  <c r="M148" i="11"/>
  <c r="L148" i="11"/>
  <c r="M147" i="11"/>
  <c r="L147" i="11"/>
  <c r="M146" i="11"/>
  <c r="L146" i="11"/>
  <c r="M145" i="11"/>
  <c r="L145" i="11"/>
  <c r="M144" i="11"/>
  <c r="L144" i="11"/>
  <c r="M143" i="11"/>
  <c r="L143" i="11"/>
  <c r="M142" i="11"/>
  <c r="L142" i="11"/>
  <c r="M141" i="11"/>
  <c r="L141" i="11"/>
  <c r="M140" i="11"/>
  <c r="L140" i="11"/>
  <c r="M139" i="11"/>
  <c r="L139" i="11"/>
  <c r="M138" i="11"/>
  <c r="L138" i="11"/>
  <c r="M137" i="11"/>
  <c r="L137" i="11"/>
  <c r="M136" i="11"/>
  <c r="L136" i="11"/>
  <c r="M135" i="11"/>
  <c r="L135" i="11"/>
  <c r="M134" i="11"/>
  <c r="L134" i="11"/>
  <c r="M133" i="11"/>
  <c r="L133" i="11"/>
  <c r="M132" i="11"/>
  <c r="L132" i="11"/>
  <c r="M131" i="11"/>
  <c r="L131" i="11"/>
  <c r="M130" i="11"/>
  <c r="L130" i="11"/>
  <c r="M129" i="11"/>
  <c r="L129" i="11"/>
  <c r="M128" i="11"/>
  <c r="L128" i="11"/>
  <c r="M127" i="11"/>
  <c r="L127" i="11"/>
  <c r="M126" i="11"/>
  <c r="L126" i="11"/>
  <c r="M125" i="11"/>
  <c r="L125" i="11"/>
  <c r="M124" i="11"/>
  <c r="L124" i="11"/>
  <c r="M123" i="11"/>
  <c r="L123" i="11"/>
  <c r="M122" i="11"/>
  <c r="L122" i="11"/>
  <c r="M121" i="11"/>
  <c r="L121" i="11"/>
  <c r="M120" i="11"/>
  <c r="L120" i="11"/>
  <c r="M119" i="11"/>
  <c r="L119" i="11"/>
  <c r="M118" i="11"/>
  <c r="L118" i="11"/>
  <c r="M117" i="11"/>
  <c r="L117" i="11"/>
  <c r="M116" i="11"/>
  <c r="L116" i="11"/>
  <c r="M115" i="11"/>
  <c r="L115" i="11"/>
  <c r="M114" i="11"/>
  <c r="L114" i="11"/>
  <c r="M113" i="11"/>
  <c r="L113" i="11"/>
  <c r="M112" i="11"/>
  <c r="L112" i="11"/>
  <c r="M111" i="11"/>
  <c r="L111" i="11"/>
  <c r="M110" i="11"/>
  <c r="L110" i="11"/>
  <c r="M109" i="11"/>
  <c r="L109" i="11"/>
  <c r="M108" i="11"/>
  <c r="L108" i="11"/>
  <c r="M107" i="11"/>
  <c r="L107" i="11"/>
  <c r="M106" i="11"/>
  <c r="L106" i="11"/>
  <c r="M105" i="11"/>
  <c r="L105" i="11"/>
  <c r="M104" i="11"/>
  <c r="L104" i="11"/>
  <c r="M103" i="11"/>
  <c r="L103" i="11"/>
  <c r="M102" i="11"/>
  <c r="L102" i="11"/>
  <c r="M101" i="11"/>
  <c r="L101" i="11"/>
  <c r="M100" i="11"/>
  <c r="L100" i="11"/>
  <c r="M99" i="11"/>
  <c r="L99" i="11"/>
  <c r="M98" i="11"/>
  <c r="L98" i="11"/>
  <c r="M97" i="11"/>
  <c r="L97" i="11"/>
  <c r="M96" i="11"/>
  <c r="L96" i="11"/>
  <c r="M95" i="11"/>
  <c r="L95" i="11"/>
  <c r="M94" i="11"/>
  <c r="L94" i="11"/>
  <c r="M93" i="11"/>
  <c r="L93" i="11"/>
  <c r="M92" i="11"/>
  <c r="L92" i="11"/>
  <c r="M91" i="11"/>
  <c r="L91" i="11"/>
  <c r="M90" i="11"/>
  <c r="L90" i="11"/>
  <c r="M89" i="11"/>
  <c r="L89" i="11"/>
  <c r="M88" i="11"/>
  <c r="L88" i="11"/>
  <c r="M87" i="11"/>
  <c r="L87" i="11"/>
  <c r="M86" i="11"/>
  <c r="L86" i="11"/>
  <c r="M85" i="11"/>
  <c r="L85" i="11"/>
  <c r="M84" i="11"/>
  <c r="L84" i="11"/>
  <c r="M83" i="11"/>
  <c r="L83" i="11"/>
  <c r="M82" i="11"/>
  <c r="L82" i="11"/>
  <c r="M81" i="11"/>
  <c r="L81" i="11"/>
  <c r="M80" i="11"/>
  <c r="L80" i="11"/>
  <c r="M79" i="11"/>
  <c r="L79" i="11"/>
  <c r="M78" i="11"/>
  <c r="L78" i="11"/>
  <c r="M77" i="11"/>
  <c r="L77" i="11"/>
  <c r="M76" i="11"/>
  <c r="L76" i="11"/>
  <c r="M75" i="11"/>
  <c r="L75" i="11"/>
  <c r="M74" i="11"/>
  <c r="L74" i="11"/>
  <c r="M73" i="11"/>
  <c r="L73" i="11"/>
  <c r="M72" i="11"/>
  <c r="L72" i="11"/>
  <c r="M71" i="11"/>
  <c r="L71" i="11"/>
  <c r="M70" i="11"/>
  <c r="L70" i="11"/>
  <c r="M69" i="11"/>
  <c r="L69" i="11"/>
  <c r="M68" i="11"/>
  <c r="L68" i="11"/>
  <c r="M67" i="11"/>
  <c r="L67" i="11"/>
  <c r="M66" i="11"/>
  <c r="L66" i="11"/>
  <c r="M65" i="11"/>
  <c r="L65" i="11"/>
  <c r="M64" i="11"/>
  <c r="L64" i="11"/>
  <c r="M63" i="11"/>
  <c r="L63" i="11"/>
  <c r="M62" i="11"/>
  <c r="L62" i="11"/>
  <c r="M61" i="11"/>
  <c r="L61" i="11"/>
  <c r="M60" i="11"/>
  <c r="L60" i="11"/>
  <c r="M59" i="11"/>
  <c r="L59" i="11"/>
  <c r="M58" i="11"/>
  <c r="L58" i="11"/>
  <c r="M57" i="11"/>
  <c r="L57" i="11"/>
  <c r="M56" i="11"/>
  <c r="L56" i="11"/>
  <c r="M55" i="11"/>
  <c r="L55" i="11"/>
  <c r="M54" i="11"/>
  <c r="L54" i="11"/>
  <c r="M53" i="11"/>
  <c r="L53" i="11"/>
  <c r="M52" i="11"/>
  <c r="L52" i="11"/>
  <c r="M51" i="11"/>
  <c r="L51" i="11"/>
  <c r="M50" i="11"/>
  <c r="L50" i="11"/>
  <c r="M49" i="11"/>
  <c r="L49" i="11"/>
  <c r="M48" i="11"/>
  <c r="L48" i="11"/>
  <c r="M47" i="11"/>
  <c r="L47" i="11"/>
  <c r="M46" i="11"/>
  <c r="L46" i="11"/>
  <c r="M45" i="11"/>
  <c r="L45" i="11"/>
  <c r="M44" i="11"/>
  <c r="L44" i="11"/>
  <c r="M43" i="11"/>
  <c r="L43" i="11"/>
  <c r="M42" i="11"/>
  <c r="L42" i="11"/>
  <c r="M41" i="11"/>
  <c r="L41" i="11"/>
  <c r="M40" i="11"/>
  <c r="L40" i="11"/>
  <c r="M39" i="11"/>
  <c r="L39" i="11"/>
  <c r="M38" i="11"/>
  <c r="L38" i="11"/>
  <c r="M37" i="11"/>
  <c r="L37" i="11"/>
  <c r="M36" i="11"/>
  <c r="L36" i="11"/>
  <c r="M35" i="11"/>
  <c r="L35" i="11"/>
  <c r="M34" i="11"/>
  <c r="L34" i="11"/>
  <c r="M33" i="11"/>
  <c r="L33" i="11"/>
  <c r="M32" i="11"/>
  <c r="L32" i="11"/>
  <c r="M31" i="11"/>
  <c r="L31" i="11"/>
  <c r="M30" i="11"/>
  <c r="L30" i="11"/>
  <c r="M29" i="11"/>
  <c r="L29" i="11"/>
  <c r="M28" i="11"/>
  <c r="L28" i="11"/>
  <c r="M27" i="11"/>
  <c r="L27" i="11"/>
  <c r="M26" i="11"/>
  <c r="L26" i="11"/>
  <c r="M25" i="11"/>
  <c r="L25" i="11"/>
  <c r="M24" i="11"/>
  <c r="L24" i="11"/>
  <c r="M23" i="11"/>
  <c r="L23" i="11"/>
  <c r="M22" i="11"/>
  <c r="L22" i="11"/>
  <c r="M21" i="11"/>
  <c r="L21" i="11"/>
  <c r="M20" i="11"/>
  <c r="L20" i="11"/>
  <c r="M19" i="11"/>
  <c r="L19" i="11"/>
  <c r="M18" i="11"/>
  <c r="L18" i="11"/>
  <c r="M17" i="11"/>
  <c r="L17" i="11"/>
  <c r="M16" i="11"/>
  <c r="L16" i="11"/>
  <c r="M15" i="11"/>
  <c r="L15" i="11"/>
  <c r="M14" i="11"/>
  <c r="L14" i="11"/>
  <c r="M13" i="11"/>
  <c r="L13" i="11"/>
  <c r="M12" i="11"/>
  <c r="L12" i="11"/>
  <c r="M11" i="11"/>
  <c r="L11" i="11"/>
  <c r="M10" i="11"/>
  <c r="L10" i="11"/>
  <c r="M9" i="11"/>
  <c r="L9" i="11"/>
  <c r="M8" i="11"/>
  <c r="L8" i="11"/>
  <c r="M7" i="11"/>
  <c r="L7" i="11"/>
  <c r="M6" i="11"/>
  <c r="L6" i="11"/>
  <c r="M5" i="11"/>
  <c r="L5" i="11"/>
  <c r="M4" i="11"/>
  <c r="L4" i="11"/>
  <c r="M3" i="11"/>
  <c r="L3" i="11"/>
  <c r="M2" i="11"/>
  <c r="L2" i="11"/>
  <c r="D2" i="2"/>
  <c r="B2" i="2"/>
  <c r="G5" i="6"/>
  <c r="A2" i="2" l="1"/>
  <c r="E2" i="2" s="1"/>
</calcChain>
</file>

<file path=xl/sharedStrings.xml><?xml version="1.0" encoding="utf-8"?>
<sst xmlns="http://schemas.openxmlformats.org/spreadsheetml/2006/main" count="4130" uniqueCount="90">
  <si>
    <t>order_id</t>
  </si>
  <si>
    <t>customer_id</t>
  </si>
  <si>
    <t>product_id</t>
  </si>
  <si>
    <t>product_name</t>
  </si>
  <si>
    <t>category</t>
  </si>
  <si>
    <t>unit_price</t>
  </si>
  <si>
    <t>quantity</t>
  </si>
  <si>
    <t>order_date</t>
  </si>
  <si>
    <t>customer_age</t>
  </si>
  <si>
    <t>customer_gender</t>
  </si>
  <si>
    <t>country</t>
  </si>
  <si>
    <t>Tablet</t>
  </si>
  <si>
    <t>Electronics</t>
  </si>
  <si>
    <t>Female</t>
  </si>
  <si>
    <t>Germany</t>
  </si>
  <si>
    <t>Smartphone</t>
  </si>
  <si>
    <t>Male</t>
  </si>
  <si>
    <t>Canada</t>
  </si>
  <si>
    <t>Jacket</t>
  </si>
  <si>
    <t>Accessories</t>
  </si>
  <si>
    <t>UK</t>
  </si>
  <si>
    <t>Shoes</t>
  </si>
  <si>
    <t>Australia</t>
  </si>
  <si>
    <t>Clothing</t>
  </si>
  <si>
    <t>USA</t>
  </si>
  <si>
    <t>Camera</t>
  </si>
  <si>
    <t>Laptop</t>
  </si>
  <si>
    <t>T-shirt</t>
  </si>
  <si>
    <t>Watch</t>
  </si>
  <si>
    <t>Headphones</t>
  </si>
  <si>
    <t>France</t>
  </si>
  <si>
    <t>Sunglasses</t>
  </si>
  <si>
    <t>Total Renue</t>
  </si>
  <si>
    <t>Revenue</t>
  </si>
  <si>
    <t>Total Orders</t>
  </si>
  <si>
    <t>Total Customers</t>
  </si>
  <si>
    <t>Total Quantity Sold</t>
  </si>
  <si>
    <t>Average Order Value</t>
  </si>
  <si>
    <t>months</t>
  </si>
  <si>
    <t>monthly_revenue</t>
  </si>
  <si>
    <t xml:space="preserve">April    </t>
  </si>
  <si>
    <t xml:space="preserve">August   </t>
  </si>
  <si>
    <t xml:space="preserve">December </t>
  </si>
  <si>
    <t xml:space="preserve">February </t>
  </si>
  <si>
    <t xml:space="preserve">January  </t>
  </si>
  <si>
    <t xml:space="preserve">July     </t>
  </si>
  <si>
    <t xml:space="preserve">June     </t>
  </si>
  <si>
    <t xml:space="preserve">March    </t>
  </si>
  <si>
    <t xml:space="preserve">May      </t>
  </si>
  <si>
    <t xml:space="preserve">November </t>
  </si>
  <si>
    <t xml:space="preserve">October  </t>
  </si>
  <si>
    <t>September</t>
  </si>
  <si>
    <t>total_orders</t>
  </si>
  <si>
    <t>total_sales</t>
  </si>
  <si>
    <t>Row Labels</t>
  </si>
  <si>
    <t>Grand Total</t>
  </si>
  <si>
    <t>Sum of Revenue</t>
  </si>
  <si>
    <t>Top Revenue Customers</t>
  </si>
  <si>
    <t>Remaining Customers</t>
  </si>
  <si>
    <t>Age Group</t>
  </si>
  <si>
    <t>20-29</t>
  </si>
  <si>
    <t>30-39</t>
  </si>
  <si>
    <t>40-49</t>
  </si>
  <si>
    <t>Under 20</t>
  </si>
  <si>
    <t>Column Labels</t>
  </si>
  <si>
    <t>50-59</t>
  </si>
  <si>
    <t>Above 60</t>
  </si>
  <si>
    <t>SuperStore</t>
  </si>
  <si>
    <t>Insighhts</t>
  </si>
  <si>
    <t>Total Revenue</t>
  </si>
  <si>
    <t>CI_188</t>
  </si>
  <si>
    <t>CI_169</t>
  </si>
  <si>
    <t>CI_130</t>
  </si>
  <si>
    <t>CI_32</t>
  </si>
  <si>
    <t>CI_149</t>
  </si>
  <si>
    <t>Qtr2</t>
  </si>
  <si>
    <t>Sum of monthly_revenue</t>
  </si>
  <si>
    <t>customer_id_2</t>
  </si>
  <si>
    <t>product_name_2</t>
  </si>
  <si>
    <t>Sum of total_sales</t>
  </si>
  <si>
    <t>Sum of total_orders</t>
  </si>
  <si>
    <t>Qtr1</t>
  </si>
  <si>
    <t>Qtr3</t>
  </si>
  <si>
    <t>Qtr4</t>
  </si>
  <si>
    <t xml:space="preserve">Top 20% of Customers
Contribute nearly 80%
of Total Revenue </t>
  </si>
  <si>
    <t>Seasonal 
Sales Peak</t>
  </si>
  <si>
    <t>Revenue 
Concentration Risk</t>
  </si>
  <si>
    <t>August shows the highest monthly sales, highlighting a strong seasonal demand during this period.</t>
  </si>
  <si>
    <t>High Value
 Age Groups</t>
  </si>
  <si>
    <t xml:space="preserve">Customers in the 20–29 and 50–59 age groups generate the highest revenue,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</si>
</sst>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 &quot;₹&quot;\ * #,##0.00_ ;_ &quot;₹&quot;\ * \-#,##0.00_ ;_ &quot;₹&quot;\ * &quot;-&quot;??_ ;_ @_ "/>
    <numFmt numFmtId="164" formatCode="#,##0.00,&quot;k&quot;"/>
    <numFmt numFmtId="165" formatCode="#,##0.0,&quot;K&quot;"/>
    <numFmt numFmtId="166" formatCode="_ &quot;₹&quot;\ * #,##0_ ;_ &quot;₹&quot;\ * \-#,##0_ ;_ &quot;₹&quot;\ * &quot;-&quot;??_ ;_ @_ "/>
    <numFmt numFmtId="167" formatCode="#,##0.00,&quot;K&quot;"/>
  </numFmts>
  <fonts count="16">
    <font>
      <sz val="11"/>
      <color theme="1"/>
      <name val="Calibri"/>
      <family val="2"/>
      <scheme val="minor"/>
    </font>
    <font>
      <b/>
      <sz val="11"/>
      <color theme="1"/>
      <name val="Calibri"/>
      <family val="2"/>
      <scheme val="minor"/>
    </font>
    <font>
      <sz val="10"/>
      <color rgb="FF000000"/>
      <name val="Arial Unicode MS"/>
    </font>
    <font>
      <b/>
      <sz val="10"/>
      <color rgb="FF000000"/>
      <name val="Arial Unicode MS"/>
    </font>
    <font>
      <sz val="10"/>
      <color theme="1"/>
      <name val="Calibri"/>
      <family val="2"/>
      <scheme val="minor"/>
    </font>
    <font>
      <sz val="24"/>
      <color theme="1"/>
      <name val="Calibri"/>
      <family val="2"/>
      <scheme val="minor"/>
    </font>
    <font>
      <b/>
      <sz val="12"/>
      <color theme="1"/>
      <name val="Baskerville Old Face"/>
      <family val="1"/>
    </font>
    <font>
      <sz val="12"/>
      <color theme="1"/>
      <name val="Baskerville Old Face"/>
      <family val="1"/>
    </font>
    <font>
      <sz val="24"/>
      <color theme="1"/>
      <name val="Britannic Bold"/>
      <family val="2"/>
    </font>
    <font>
      <b/>
      <sz val="24"/>
      <color theme="1"/>
      <name val="Britannic Bold"/>
      <family val="2"/>
    </font>
    <font>
      <b/>
      <sz val="12"/>
      <color theme="1" tint="4.9989318521683403E-2"/>
      <name val="Baskerville Old Face"/>
      <family val="1"/>
    </font>
    <font>
      <b/>
      <sz val="11"/>
      <color rgb="FF00B050"/>
      <name val="Calibri"/>
      <family val="2"/>
      <scheme val="minor"/>
    </font>
    <font>
      <b/>
      <sz val="12"/>
      <color theme="4" tint="-0.499984740745262"/>
      <name val="Calibri"/>
      <family val="2"/>
      <scheme val="minor"/>
    </font>
    <font>
      <b/>
      <sz val="14"/>
      <color theme="5" tint="-0.249977111117893"/>
      <name val="Calibri"/>
      <family val="2"/>
      <scheme val="minor"/>
    </font>
    <font>
      <b/>
      <sz val="14"/>
      <color theme="0"/>
      <name val="Baskerville Old Face"/>
      <family val="1"/>
    </font>
    <font>
      <b/>
      <sz val="16"/>
      <color theme="1" tint="4.9989318521683403E-2"/>
      <name val="Bodoni MT"/>
      <family val="1"/>
    </font>
  </fonts>
  <fills count="6">
    <fill>
      <patternFill patternType="none"/>
    </fill>
    <fill>
      <patternFill patternType="gray125"/>
    </fill>
    <fill>
      <patternFill patternType="solid">
        <fgColor theme="0" tint="-0.14999847407452621"/>
        <bgColor indexed="64"/>
      </patternFill>
    </fill>
    <fill>
      <patternFill patternType="solid">
        <fgColor theme="9" tint="0.39997558519241921"/>
        <bgColor indexed="64"/>
      </patternFill>
    </fill>
    <fill>
      <patternFill patternType="solid">
        <fgColor theme="0" tint="-4.9989318521683403E-2"/>
        <bgColor indexed="64"/>
      </patternFill>
    </fill>
    <fill>
      <patternFill patternType="solid">
        <fgColor theme="9" tint="-0.249977111117893"/>
        <bgColor indexed="64"/>
      </patternFill>
    </fill>
  </fills>
  <borders count="1">
    <border>
      <left/>
      <right/>
      <top/>
      <bottom/>
      <diagonal/>
    </border>
  </borders>
  <cellStyleXfs count="1">
    <xf numFmtId="0" fontId="0" fillId="0" borderId="0"/>
  </cellStyleXfs>
  <cellXfs count="34">
    <xf numFmtId="0" fontId="0" fillId="0" borderId="0" xfId="0"/>
    <xf numFmtId="0" fontId="2" fillId="0" borderId="0" xfId="0" applyFont="1" applyAlignment="1">
      <alignment vertical="center"/>
    </xf>
    <xf numFmtId="14" fontId="0" fillId="0" borderId="0" xfId="0" applyNumberFormat="1"/>
    <xf numFmtId="0" fontId="3" fillId="0" borderId="0" xfId="0" applyFont="1" applyAlignment="1">
      <alignment vertical="center"/>
    </xf>
    <xf numFmtId="0" fontId="1" fillId="0" borderId="0" xfId="0" applyFont="1"/>
    <xf numFmtId="0" fontId="1" fillId="0" borderId="0" xfId="0" applyFont="1" applyAlignment="1">
      <alignment horizontal="center"/>
    </xf>
    <xf numFmtId="0" fontId="0" fillId="0" borderId="0" xfId="0" applyAlignment="1">
      <alignment horizontal="center"/>
    </xf>
    <xf numFmtId="2" fontId="0" fillId="0" borderId="0" xfId="0" applyNumberFormat="1" applyAlignment="1">
      <alignment horizontal="center"/>
    </xf>
    <xf numFmtId="0" fontId="0" fillId="0" borderId="0" xfId="0" pivotButton="1"/>
    <xf numFmtId="0" fontId="0" fillId="0" borderId="0" xfId="0" applyAlignment="1">
      <alignment horizontal="left"/>
    </xf>
    <xf numFmtId="164" fontId="0" fillId="0" borderId="0" xfId="0" applyNumberFormat="1" applyAlignment="1">
      <alignment horizontal="center"/>
    </xf>
    <xf numFmtId="0" fontId="0" fillId="2" borderId="0" xfId="0" applyFill="1"/>
    <xf numFmtId="0" fontId="6" fillId="3" borderId="0" xfId="0" applyFont="1" applyFill="1" applyAlignment="1">
      <alignment horizontal="center"/>
    </xf>
    <xf numFmtId="0" fontId="10" fillId="3" borderId="0" xfId="0" applyFont="1" applyFill="1" applyAlignment="1">
      <alignment horizontal="center"/>
    </xf>
    <xf numFmtId="167" fontId="0" fillId="0" borderId="0" xfId="0" applyNumberFormat="1"/>
    <xf numFmtId="0" fontId="11" fillId="0" borderId="0" xfId="0" applyFont="1"/>
    <xf numFmtId="0" fontId="11" fillId="0" borderId="0" xfId="0" applyFont="1" applyAlignment="1">
      <alignment horizontal="center"/>
    </xf>
    <xf numFmtId="165" fontId="0" fillId="0" borderId="0" xfId="0" applyNumberFormat="1"/>
    <xf numFmtId="0" fontId="0" fillId="4" borderId="0" xfId="0" applyFill="1"/>
    <xf numFmtId="0" fontId="4" fillId="4" borderId="0" xfId="0" applyFont="1" applyFill="1"/>
    <xf numFmtId="0" fontId="1" fillId="4" borderId="0" xfId="0" applyFont="1" applyFill="1"/>
    <xf numFmtId="0" fontId="7" fillId="4" borderId="0" xfId="0" applyFont="1" applyFill="1"/>
    <xf numFmtId="0" fontId="15" fillId="0" borderId="0" xfId="0" applyFont="1" applyAlignment="1">
      <alignment vertical="center" wrapText="1"/>
    </xf>
    <xf numFmtId="0" fontId="15" fillId="4" borderId="0" xfId="0" applyFont="1" applyFill="1" applyAlignment="1">
      <alignment vertical="center" wrapText="1"/>
    </xf>
    <xf numFmtId="0" fontId="14" fillId="5" borderId="0" xfId="0" applyFont="1" applyFill="1" applyAlignment="1">
      <alignment horizontal="center" vertical="center" wrapText="1"/>
    </xf>
    <xf numFmtId="0" fontId="15" fillId="3" borderId="0" xfId="0" applyFont="1" applyFill="1" applyAlignment="1">
      <alignment horizontal="center" vertical="center" wrapText="1"/>
    </xf>
    <xf numFmtId="0" fontId="8" fillId="3" borderId="0" xfId="0" applyFont="1" applyFill="1" applyAlignment="1">
      <alignment horizontal="center" vertical="center"/>
    </xf>
    <xf numFmtId="44" fontId="8" fillId="3" borderId="0" xfId="0" applyNumberFormat="1" applyFont="1" applyFill="1" applyAlignment="1">
      <alignment horizontal="center" vertical="center"/>
    </xf>
    <xf numFmtId="0" fontId="12" fillId="3" borderId="0" xfId="0" applyFont="1" applyFill="1" applyAlignment="1">
      <alignment horizontal="center" textRotation="90"/>
    </xf>
    <xf numFmtId="0" fontId="13" fillId="3" borderId="0" xfId="0" applyFont="1" applyFill="1" applyAlignment="1">
      <alignment horizontal="center" vertical="center" textRotation="180"/>
    </xf>
    <xf numFmtId="0" fontId="0" fillId="3" borderId="0" xfId="0" applyFill="1" applyAlignment="1">
      <alignment horizontal="center" vertical="center"/>
    </xf>
    <xf numFmtId="166" fontId="8" fillId="3" borderId="0" xfId="0" applyNumberFormat="1" applyFont="1" applyFill="1" applyAlignment="1">
      <alignment horizontal="center" vertical="center"/>
    </xf>
    <xf numFmtId="0" fontId="9" fillId="3" borderId="0" xfId="0" applyFont="1" applyFill="1" applyAlignment="1">
      <alignment horizontal="center" vertical="center"/>
    </xf>
    <xf numFmtId="0" fontId="5" fillId="4" borderId="0" xfId="0" applyFont="1" applyFill="1" applyAlignment="1">
      <alignment horizontal="center" vertical="center"/>
    </xf>
  </cellXfs>
  <cellStyles count="1">
    <cellStyle name="Normal" xfId="0" builtinId="0"/>
  </cellStyles>
  <dxfs count="5">
    <dxf>
      <numFmt numFmtId="167" formatCode="#,##0.00,&quot;K&quot;"/>
    </dxf>
    <dxf>
      <numFmt numFmtId="165" formatCode="#,##0.0,&quot;K&quot;"/>
    </dxf>
    <dxf>
      <numFmt numFmtId="167" formatCode="#,##0.00,&quot;K&quot;"/>
    </dxf>
    <dxf>
      <font>
        <sz val="14"/>
        <color theme="0"/>
        <name val="Bodoni MT Black"/>
        <family val="1"/>
        <scheme val="none"/>
      </font>
      <fill>
        <patternFill>
          <bgColor theme="9" tint="-0.24994659260841701"/>
        </patternFill>
      </fill>
    </dxf>
    <dxf>
      <fill>
        <patternFill>
          <bgColor theme="9" tint="0.39994506668294322"/>
        </patternFill>
      </fill>
    </dxf>
  </dxfs>
  <tableStyles count="1" defaultTableStyle="TableStyleMedium2" defaultPivotStyle="PivotStyleLight16">
    <tableStyle name="Slicer Style 1" pivot="0" table="0" count="7" xr9:uid="{A86A587A-2020-4CAB-B3A2-6FC964E96F43}">
      <tableStyleElement type="wholeTable" dxfId="4"/>
      <tableStyleElement type="headerRow" dxfId="3"/>
    </tableStyle>
  </tableStyles>
  <colors>
    <mruColors>
      <color rgb="FFFF3399"/>
    </mruColors>
  </colors>
  <extLst>
    <ext xmlns:x14="http://schemas.microsoft.com/office/spreadsheetml/2009/9/main" uri="{46F421CA-312F-682f-3DD2-61675219B42D}">
      <x14:dxfs count="5">
        <dxf>
          <fill>
            <patternFill>
              <bgColor rgb="FFFFC000"/>
            </patternFill>
          </fill>
        </dxf>
        <dxf>
          <fill>
            <patternFill>
              <bgColor theme="5" tint="0.39994506668294322"/>
            </patternFill>
          </fill>
        </dxf>
        <dxf>
          <fill>
            <patternFill>
              <bgColor rgb="FFFF0000"/>
            </patternFill>
          </fill>
        </dxf>
        <dxf>
          <font>
            <color theme="0"/>
          </font>
          <fill>
            <patternFill>
              <bgColor theme="8" tint="-0.24994659260841701"/>
            </patternFill>
          </fill>
        </dxf>
        <dxf>
          <fill>
            <patternFill>
              <bgColor theme="5"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4"/>
            <x14:slicerStyleElement type="selectedItemWithData" dxfId="3"/>
            <x14:slicerStyleElement type="selectedItemWithNoData" dxfId="2"/>
            <x14:slicerStyleElement type="hoveredUnselectedItemWithData" dxfId="1"/>
            <x14:slicerStyleElement type="hovered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(Recovered).xlsx]Monthly Sales Analysis!PivotTable2</c:name>
    <c:fmtId val="4"/>
  </c:pivotSource>
  <c:chart>
    <c:title>
      <c:tx>
        <c:rich>
          <a:bodyPr rot="0" spcFirstLastPara="1" vertOverflow="ellipsis" vert="horz" wrap="square" anchor="ctr" anchorCtr="1"/>
          <a:lstStyle/>
          <a:p>
            <a:pPr>
              <a:defRPr sz="1400" b="1" i="0" u="none" strike="noStrike" kern="1200" baseline="0">
                <a:solidFill>
                  <a:schemeClr val="tx1"/>
                </a:solidFill>
                <a:latin typeface="Baskerville Old Face" panose="02020602080505020303" pitchFamily="18" charset="0"/>
                <a:ea typeface="+mn-ea"/>
                <a:cs typeface="+mn-cs"/>
              </a:defRPr>
            </a:pPr>
            <a:r>
              <a:rPr lang="en-US" sz="1400">
                <a:solidFill>
                  <a:schemeClr val="tx1"/>
                </a:solidFill>
                <a:latin typeface="Baskerville Old Face" panose="02020602080505020303" pitchFamily="18" charset="0"/>
              </a:rPr>
              <a:t>Monthly Sales</a:t>
            </a:r>
            <a:r>
              <a:rPr lang="en-US" sz="1400" baseline="0">
                <a:solidFill>
                  <a:schemeClr val="tx1"/>
                </a:solidFill>
                <a:latin typeface="Baskerville Old Face" panose="02020602080505020303" pitchFamily="18" charset="0"/>
              </a:rPr>
              <a:t> Analysis</a:t>
            </a:r>
            <a:endParaRPr lang="en-US" sz="1400">
              <a:solidFill>
                <a:schemeClr val="tx1"/>
              </a:solidFill>
              <a:latin typeface="Baskerville Old Face" panose="02020602080505020303" pitchFamily="18" charset="0"/>
            </a:endParaRP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Baskerville Old Face" panose="02020602080505020303" pitchFamily="18" charset="0"/>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Analysis'!$B$3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5400000" spcFirstLastPara="1" vertOverflow="ellipsis" wrap="square" lIns="38100" tIns="19050" rIns="38100" bIns="19050" anchor="ctr" anchorCtr="1">
                <a:spAutoFit/>
              </a:bodyPr>
              <a:lstStyle/>
              <a:p>
                <a:pPr>
                  <a:defRPr sz="900" b="1"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'Monthly Sales Analysis'!$A$4:$A$15</c:f>
              <c:strCache>
                <c:ptCount val="12"/>
                <c:pt idx="0">
                  <c:v>January  </c:v>
                </c:pt>
                <c:pt idx="1">
                  <c:v>February </c:v>
                </c:pt>
                <c:pt idx="2">
                  <c:v>March    </c:v>
                </c:pt>
                <c:pt idx="3">
                  <c:v>April    </c:v>
                </c:pt>
                <c:pt idx="4">
                  <c:v>May      </c:v>
                </c:pt>
                <c:pt idx="5">
                  <c:v>June     </c:v>
                </c:pt>
                <c:pt idx="6">
                  <c:v>July     </c:v>
                </c:pt>
                <c:pt idx="7">
                  <c:v>August   </c:v>
                </c:pt>
                <c:pt idx="8">
                  <c:v>September</c:v>
                </c:pt>
                <c:pt idx="9">
                  <c:v>October  </c:v>
                </c:pt>
                <c:pt idx="10">
                  <c:v>November </c:v>
                </c:pt>
                <c:pt idx="11">
                  <c:v>December </c:v>
                </c:pt>
              </c:strCache>
            </c:strRef>
          </c:cat>
          <c:val>
            <c:numRef>
              <c:f>'Monthly Sales Analysis'!$B$4:$B$15</c:f>
              <c:numCache>
                <c:formatCode>#,##0.00,"K"</c:formatCode>
                <c:ptCount val="12"/>
                <c:pt idx="0">
                  <c:v>54020</c:v>
                </c:pt>
                <c:pt idx="1">
                  <c:v>61316</c:v>
                </c:pt>
                <c:pt idx="2">
                  <c:v>54013</c:v>
                </c:pt>
                <c:pt idx="3">
                  <c:v>65379</c:v>
                </c:pt>
                <c:pt idx="4">
                  <c:v>64927</c:v>
                </c:pt>
                <c:pt idx="5">
                  <c:v>64948</c:v>
                </c:pt>
                <c:pt idx="6">
                  <c:v>61130</c:v>
                </c:pt>
                <c:pt idx="7">
                  <c:v>96241</c:v>
                </c:pt>
                <c:pt idx="8">
                  <c:v>66313</c:v>
                </c:pt>
                <c:pt idx="9">
                  <c:v>51339</c:v>
                </c:pt>
                <c:pt idx="10">
                  <c:v>46723</c:v>
                </c:pt>
                <c:pt idx="11">
                  <c:v>45441</c:v>
                </c:pt>
              </c:numCache>
            </c:numRef>
          </c:val>
          <c:smooth val="0"/>
          <c:extLst>
            <c:ext xmlns:c16="http://schemas.microsoft.com/office/drawing/2014/chart" uri="{C3380CC4-5D6E-409C-BE32-E72D297353CC}">
              <c16:uniqueId val="{00000006-7144-431D-8CDC-47B38107829E}"/>
            </c:ext>
          </c:extLst>
        </c:ser>
        <c:dLbls>
          <c:dLblPos val="t"/>
          <c:showLegendKey val="0"/>
          <c:showVal val="1"/>
          <c:showCatName val="0"/>
          <c:showSerName val="0"/>
          <c:showPercent val="0"/>
          <c:showBubbleSize val="0"/>
        </c:dLbls>
        <c:marker val="1"/>
        <c:smooth val="0"/>
        <c:axId val="2104111311"/>
        <c:axId val="2104122351"/>
      </c:lineChart>
      <c:catAx>
        <c:axId val="210411131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4122351"/>
        <c:crosses val="autoZero"/>
        <c:auto val="1"/>
        <c:lblAlgn val="ctr"/>
        <c:lblOffset val="100"/>
        <c:noMultiLvlLbl val="0"/>
      </c:catAx>
      <c:valAx>
        <c:axId val="2104122351"/>
        <c:scaling>
          <c:orientation val="minMax"/>
        </c:scaling>
        <c:delete val="1"/>
        <c:axPos val="l"/>
        <c:numFmt formatCode="#,##0.00,&quot;K&quot;" sourceLinked="1"/>
        <c:majorTickMark val="none"/>
        <c:minorTickMark val="none"/>
        <c:tickLblPos val="nextTo"/>
        <c:crossAx val="210411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(Recovered).xlsx]Age Group Analysis!PivotTable1</c:name>
    <c:fmtId val="4"/>
  </c:pivotSource>
  <c:chart>
    <c:title>
      <c:tx>
        <c:rich>
          <a:bodyPr rot="0" spcFirstLastPara="1" vertOverflow="ellipsis" vert="horz" wrap="square" anchor="ctr" anchorCtr="1"/>
          <a:lstStyle/>
          <a:p>
            <a:pPr>
              <a:defRPr sz="1400" b="0" i="0" u="none" strike="noStrike" kern="1200" spc="0" baseline="0">
                <a:solidFill>
                  <a:schemeClr val="tx1"/>
                </a:solidFill>
                <a:latin typeface="Baskerville Old Face" panose="02020602080505020303" pitchFamily="18" charset="0"/>
                <a:ea typeface="+mn-ea"/>
                <a:cs typeface="+mn-cs"/>
              </a:defRPr>
            </a:pPr>
            <a:r>
              <a:rPr lang="en-IN" sz="1400" b="1" i="0" u="none" strike="noStrike" kern="1200" spc="0" baseline="0">
                <a:solidFill>
                  <a:schemeClr val="tx1"/>
                </a:solidFill>
                <a:latin typeface="Baskerville Old Face" panose="02020602080505020303" pitchFamily="18" charset="0"/>
              </a:rPr>
              <a:t>Revenue by Age Group and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Baskerville Old Face" panose="02020602080505020303" pitchFamily="18" charset="0"/>
              <a:ea typeface="+mn-ea"/>
              <a:cs typeface="+mn-cs"/>
            </a:defRPr>
          </a:pPr>
          <a:endParaRPr lang="en-US"/>
        </a:p>
      </c:txPr>
    </c:title>
    <c:autoTitleDeleted val="0"/>
    <c:pivotFmts>
      <c:pivotFmt>
        <c:idx val="0"/>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Group Analysis'!$B$3:$B$4</c:f>
              <c:strCache>
                <c:ptCount val="1"/>
                <c:pt idx="0">
                  <c:v>Female</c:v>
                </c:pt>
              </c:strCache>
            </c:strRef>
          </c:tx>
          <c:spPr>
            <a:solidFill>
              <a:srgbClr val="FF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Analysis'!$A$5:$A$10</c:f>
              <c:strCache>
                <c:ptCount val="6"/>
                <c:pt idx="0">
                  <c:v>Above 60</c:v>
                </c:pt>
                <c:pt idx="1">
                  <c:v>50-59</c:v>
                </c:pt>
                <c:pt idx="2">
                  <c:v>40-49</c:v>
                </c:pt>
                <c:pt idx="3">
                  <c:v>30-39</c:v>
                </c:pt>
                <c:pt idx="4">
                  <c:v>20-29</c:v>
                </c:pt>
                <c:pt idx="5">
                  <c:v>Under 20</c:v>
                </c:pt>
              </c:strCache>
            </c:strRef>
          </c:cat>
          <c:val>
            <c:numRef>
              <c:f>'Age Group Analysis'!$B$5:$B$10</c:f>
              <c:numCache>
                <c:formatCode>#,##0.0,"K"</c:formatCode>
                <c:ptCount val="6"/>
                <c:pt idx="0">
                  <c:v>44079</c:v>
                </c:pt>
                <c:pt idx="1">
                  <c:v>71427</c:v>
                </c:pt>
                <c:pt idx="2">
                  <c:v>70373</c:v>
                </c:pt>
                <c:pt idx="3">
                  <c:v>54728</c:v>
                </c:pt>
                <c:pt idx="4">
                  <c:v>76210</c:v>
                </c:pt>
                <c:pt idx="5">
                  <c:v>23340</c:v>
                </c:pt>
              </c:numCache>
            </c:numRef>
          </c:val>
          <c:extLst>
            <c:ext xmlns:c16="http://schemas.microsoft.com/office/drawing/2014/chart" uri="{C3380CC4-5D6E-409C-BE32-E72D297353CC}">
              <c16:uniqueId val="{00000000-DCCD-482B-BB36-F5B4CFD08E88}"/>
            </c:ext>
          </c:extLst>
        </c:ser>
        <c:ser>
          <c:idx val="1"/>
          <c:order val="1"/>
          <c:tx>
            <c:strRef>
              <c:f>'Age Group Analysis'!$C$3:$C$4</c:f>
              <c:strCache>
                <c:ptCount val="1"/>
                <c:pt idx="0">
                  <c:v>Male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Analysis'!$A$5:$A$10</c:f>
              <c:strCache>
                <c:ptCount val="6"/>
                <c:pt idx="0">
                  <c:v>Above 60</c:v>
                </c:pt>
                <c:pt idx="1">
                  <c:v>50-59</c:v>
                </c:pt>
                <c:pt idx="2">
                  <c:v>40-49</c:v>
                </c:pt>
                <c:pt idx="3">
                  <c:v>30-39</c:v>
                </c:pt>
                <c:pt idx="4">
                  <c:v>20-29</c:v>
                </c:pt>
                <c:pt idx="5">
                  <c:v>Under 20</c:v>
                </c:pt>
              </c:strCache>
            </c:strRef>
          </c:cat>
          <c:val>
            <c:numRef>
              <c:f>'Age Group Analysis'!$C$5:$C$10</c:f>
              <c:numCache>
                <c:formatCode>#,##0.0,"K"</c:formatCode>
                <c:ptCount val="6"/>
                <c:pt idx="0">
                  <c:v>36583</c:v>
                </c:pt>
                <c:pt idx="1">
                  <c:v>99369</c:v>
                </c:pt>
                <c:pt idx="2">
                  <c:v>88946</c:v>
                </c:pt>
                <c:pt idx="3">
                  <c:v>60450</c:v>
                </c:pt>
                <c:pt idx="4">
                  <c:v>89162</c:v>
                </c:pt>
                <c:pt idx="5">
                  <c:v>17123</c:v>
                </c:pt>
              </c:numCache>
            </c:numRef>
          </c:val>
          <c:extLst>
            <c:ext xmlns:c16="http://schemas.microsoft.com/office/drawing/2014/chart" uri="{C3380CC4-5D6E-409C-BE32-E72D297353CC}">
              <c16:uniqueId val="{00000001-DCCD-482B-BB36-F5B4CFD08E88}"/>
            </c:ext>
          </c:extLst>
        </c:ser>
        <c:dLbls>
          <c:dLblPos val="outEnd"/>
          <c:showLegendKey val="0"/>
          <c:showVal val="1"/>
          <c:showCatName val="0"/>
          <c:showSerName val="0"/>
          <c:showPercent val="0"/>
          <c:showBubbleSize val="0"/>
        </c:dLbls>
        <c:gapWidth val="182"/>
        <c:axId val="2104111791"/>
        <c:axId val="2104113711"/>
      </c:barChart>
      <c:catAx>
        <c:axId val="2104111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113711"/>
        <c:crosses val="autoZero"/>
        <c:auto val="1"/>
        <c:lblAlgn val="ctr"/>
        <c:lblOffset val="100"/>
        <c:noMultiLvlLbl val="0"/>
      </c:catAx>
      <c:valAx>
        <c:axId val="2104113711"/>
        <c:scaling>
          <c:orientation val="minMax"/>
        </c:scaling>
        <c:delete val="1"/>
        <c:axPos val="b"/>
        <c:numFmt formatCode="#,##0.0,&quot;K&quot;" sourceLinked="1"/>
        <c:majorTickMark val="none"/>
        <c:minorTickMark val="none"/>
        <c:tickLblPos val="nextTo"/>
        <c:crossAx val="210411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(Recovered).xlsx]Sales(Product) 2!PivotTable4</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Baskerville Old Face" panose="02020602080505020303" pitchFamily="18" charset="0"/>
                <a:ea typeface="+mn-ea"/>
                <a:cs typeface="+mn-cs"/>
              </a:defRPr>
            </a:pPr>
            <a:r>
              <a:rPr lang="en-US" sz="1400" b="1">
                <a:solidFill>
                  <a:schemeClr val="tx1"/>
                </a:solidFill>
                <a:latin typeface="Baskerville Old Face" panose="02020602080505020303" pitchFamily="18" charset="0"/>
              </a:rPr>
              <a:t>Product</a:t>
            </a:r>
            <a:r>
              <a:rPr lang="en-US" sz="1400" b="1" baseline="0">
                <a:solidFill>
                  <a:schemeClr val="tx1"/>
                </a:solidFill>
                <a:latin typeface="Baskerville Old Face" panose="02020602080505020303" pitchFamily="18" charset="0"/>
              </a:rPr>
              <a:t> Revenue Performance</a:t>
            </a:r>
            <a:endParaRPr lang="en-US" sz="1400" b="1">
              <a:solidFill>
                <a:schemeClr val="tx1"/>
              </a:solidFill>
              <a:latin typeface="Baskerville Old Face" panose="02020602080505020303"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Baskerville Old Face" panose="02020602080505020303" pitchFamily="18" charset="0"/>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pivotFmt>
      <c:pivotFmt>
        <c:idx val="3"/>
        <c:spPr>
          <a:solidFill>
            <a:srgbClr val="00B050"/>
          </a:solidFill>
          <a:ln>
            <a:noFill/>
          </a:ln>
          <a:effectLst/>
        </c:spPr>
      </c:pivotFmt>
      <c:pivotFmt>
        <c:idx val="4"/>
        <c:spPr>
          <a:solidFill>
            <a:srgbClr val="FF0000"/>
          </a:solidFill>
          <a:ln>
            <a:noFill/>
          </a:ln>
          <a:effectLst/>
        </c:spPr>
      </c:pivotFmt>
      <c:pivotFmt>
        <c:idx val="5"/>
        <c:spPr>
          <a:solidFill>
            <a:srgbClr val="FF0000"/>
          </a:solidFill>
          <a:ln>
            <a:noFill/>
          </a:ln>
          <a:effectLst/>
        </c:spPr>
      </c:pivotFmt>
      <c:pivotFmt>
        <c:idx val="6"/>
        <c:spPr>
          <a:solidFill>
            <a:srgbClr val="FF0000"/>
          </a:solidFill>
          <a:ln>
            <a:noFill/>
          </a:ln>
          <a:effectLst/>
        </c:spPr>
      </c:pivotFmt>
      <c:pivotFmt>
        <c:idx val="7"/>
        <c:spPr>
          <a:solidFill>
            <a:srgbClr val="92D050"/>
          </a:solidFill>
          <a:ln>
            <a:noFill/>
          </a:ln>
          <a:effectLst/>
        </c:spPr>
      </c:pivotFmt>
      <c:pivotFmt>
        <c:idx val="8"/>
        <c:spPr>
          <a:solidFill>
            <a:srgbClr val="92D050"/>
          </a:solidFill>
          <a:ln>
            <a:noFill/>
          </a:ln>
          <a:effectLst/>
        </c:spPr>
      </c:pivotFmt>
      <c:pivotFmt>
        <c:idx val="9"/>
        <c:spPr>
          <a:solidFill>
            <a:schemeClr val="accent4">
              <a:lumMod val="60000"/>
              <a:lumOff val="40000"/>
            </a:schemeClr>
          </a:solidFill>
          <a:ln>
            <a:noFill/>
          </a:ln>
          <a:effectLst/>
        </c:spPr>
      </c:pivotFmt>
      <c:pivotFmt>
        <c:idx val="10"/>
        <c:spPr>
          <a:solidFill>
            <a:schemeClr val="accent4">
              <a:lumMod val="60000"/>
              <a:lumOff val="40000"/>
            </a:schemeClr>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0000"/>
          </a:solidFill>
          <a:ln>
            <a:noFill/>
          </a:ln>
          <a:effectLst/>
        </c:spPr>
      </c:pivotFmt>
      <c:pivotFmt>
        <c:idx val="13"/>
        <c:spPr>
          <a:solidFill>
            <a:srgbClr val="FF0000"/>
          </a:solidFill>
          <a:ln>
            <a:noFill/>
          </a:ln>
          <a:effectLst/>
        </c:spPr>
      </c:pivotFmt>
      <c:pivotFmt>
        <c:idx val="14"/>
        <c:spPr>
          <a:solidFill>
            <a:srgbClr val="FF0000"/>
          </a:solidFill>
          <a:ln>
            <a:noFill/>
          </a:ln>
          <a:effectLst/>
        </c:spPr>
      </c:pivotFmt>
      <c:pivotFmt>
        <c:idx val="15"/>
        <c:spPr>
          <a:solidFill>
            <a:schemeClr val="accent4">
              <a:lumMod val="60000"/>
              <a:lumOff val="40000"/>
            </a:schemeClr>
          </a:solidFill>
          <a:ln>
            <a:noFill/>
          </a:ln>
          <a:effectLst/>
        </c:spPr>
      </c:pivotFmt>
      <c:pivotFmt>
        <c:idx val="16"/>
        <c:spPr>
          <a:solidFill>
            <a:schemeClr val="accent4">
              <a:lumMod val="60000"/>
              <a:lumOff val="40000"/>
            </a:schemeClr>
          </a:solidFill>
          <a:ln>
            <a:noFill/>
          </a:ln>
          <a:effectLst/>
        </c:spPr>
      </c:pivotFmt>
      <c:pivotFmt>
        <c:idx val="17"/>
        <c:spPr>
          <a:solidFill>
            <a:srgbClr val="92D050"/>
          </a:solidFill>
          <a:ln>
            <a:noFill/>
          </a:ln>
          <a:effectLst/>
        </c:spPr>
      </c:pivotFmt>
      <c:pivotFmt>
        <c:idx val="18"/>
        <c:spPr>
          <a:solidFill>
            <a:srgbClr val="92D050"/>
          </a:solidFill>
          <a:ln>
            <a:noFill/>
          </a:ln>
          <a:effectLst/>
        </c:spPr>
      </c:pivotFmt>
      <c:pivotFmt>
        <c:idx val="19"/>
        <c:spPr>
          <a:solidFill>
            <a:srgbClr val="00B050"/>
          </a:solidFill>
          <a:ln>
            <a:noFill/>
          </a:ln>
          <a:effectLst/>
        </c:spPr>
      </c:pivotFmt>
      <c:pivotFmt>
        <c:idx val="20"/>
        <c:spPr>
          <a:solidFill>
            <a:srgbClr val="00B050"/>
          </a:solidFill>
          <a:ln>
            <a:noFill/>
          </a:ln>
          <a:effectLst/>
        </c:spPr>
      </c:pivotFmt>
      <c:pivotFmt>
        <c:idx val="21"/>
        <c:spPr>
          <a:solidFill>
            <a:srgbClr val="00B050"/>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0000"/>
          </a:solidFill>
          <a:ln>
            <a:noFill/>
          </a:ln>
          <a:effectLst/>
        </c:spPr>
      </c:pivotFmt>
      <c:pivotFmt>
        <c:idx val="24"/>
        <c:spPr>
          <a:solidFill>
            <a:srgbClr val="FF0000"/>
          </a:solidFill>
          <a:ln>
            <a:noFill/>
          </a:ln>
          <a:effectLst/>
        </c:spPr>
      </c:pivotFmt>
      <c:pivotFmt>
        <c:idx val="25"/>
        <c:spPr>
          <a:solidFill>
            <a:srgbClr val="FF0000"/>
          </a:solidFill>
          <a:ln>
            <a:noFill/>
          </a:ln>
          <a:effectLst/>
        </c:spPr>
      </c:pivotFmt>
      <c:pivotFmt>
        <c:idx val="26"/>
        <c:spPr>
          <a:solidFill>
            <a:schemeClr val="accent4">
              <a:lumMod val="60000"/>
              <a:lumOff val="40000"/>
            </a:schemeClr>
          </a:solidFill>
          <a:ln>
            <a:noFill/>
          </a:ln>
          <a:effectLst/>
        </c:spPr>
      </c:pivotFmt>
      <c:pivotFmt>
        <c:idx val="27"/>
        <c:spPr>
          <a:solidFill>
            <a:schemeClr val="accent4">
              <a:lumMod val="60000"/>
              <a:lumOff val="40000"/>
            </a:schemeClr>
          </a:solidFill>
          <a:ln>
            <a:noFill/>
          </a:ln>
          <a:effectLst/>
        </c:spPr>
      </c:pivotFmt>
      <c:pivotFmt>
        <c:idx val="28"/>
        <c:spPr>
          <a:solidFill>
            <a:srgbClr val="92D050"/>
          </a:solidFill>
          <a:ln>
            <a:noFill/>
          </a:ln>
          <a:effectLst/>
        </c:spPr>
      </c:pivotFmt>
      <c:pivotFmt>
        <c:idx val="29"/>
        <c:spPr>
          <a:solidFill>
            <a:srgbClr val="92D050"/>
          </a:solidFill>
          <a:ln>
            <a:noFill/>
          </a:ln>
          <a:effectLst/>
        </c:spPr>
      </c:pivotFmt>
      <c:pivotFmt>
        <c:idx val="30"/>
        <c:spPr>
          <a:solidFill>
            <a:srgbClr val="00B050"/>
          </a:solidFill>
          <a:ln>
            <a:noFill/>
          </a:ln>
          <a:effectLst/>
        </c:spPr>
      </c:pivotFmt>
      <c:pivotFmt>
        <c:idx val="31"/>
        <c:spPr>
          <a:solidFill>
            <a:srgbClr val="00B050"/>
          </a:solidFill>
          <a:ln>
            <a:noFill/>
          </a:ln>
          <a:effectLst/>
        </c:spPr>
      </c:pivotFmt>
      <c:pivotFmt>
        <c:idx val="32"/>
        <c:spPr>
          <a:solidFill>
            <a:srgbClr val="00B050"/>
          </a:solidFill>
          <a:ln>
            <a:noFill/>
          </a:ln>
          <a:effectLst/>
        </c:spPr>
      </c:pivotFmt>
    </c:pivotFmts>
    <c:plotArea>
      <c:layout/>
      <c:barChart>
        <c:barDir val="bar"/>
        <c:grouping val="clustered"/>
        <c:varyColors val="0"/>
        <c:ser>
          <c:idx val="0"/>
          <c:order val="0"/>
          <c:tx>
            <c:strRef>
              <c:f>'Sales(Product) 2'!$B$3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4CEE-4C1F-BDA2-451FA82358CD}"/>
              </c:ext>
            </c:extLst>
          </c:dPt>
          <c:dPt>
            <c:idx val="1"/>
            <c:invertIfNegative val="0"/>
            <c:bubble3D val="0"/>
            <c:spPr>
              <a:solidFill>
                <a:srgbClr val="FF0000"/>
              </a:solidFill>
              <a:ln>
                <a:noFill/>
              </a:ln>
              <a:effectLst/>
            </c:spPr>
            <c:extLst>
              <c:ext xmlns:c16="http://schemas.microsoft.com/office/drawing/2014/chart" uri="{C3380CC4-5D6E-409C-BE32-E72D297353CC}">
                <c16:uniqueId val="{00000003-4CEE-4C1F-BDA2-451FA82358CD}"/>
              </c:ext>
            </c:extLst>
          </c:dPt>
          <c:dPt>
            <c:idx val="2"/>
            <c:invertIfNegative val="0"/>
            <c:bubble3D val="0"/>
            <c:spPr>
              <a:solidFill>
                <a:srgbClr val="FF0000"/>
              </a:solidFill>
              <a:ln>
                <a:noFill/>
              </a:ln>
              <a:effectLst/>
            </c:spPr>
            <c:extLst>
              <c:ext xmlns:c16="http://schemas.microsoft.com/office/drawing/2014/chart" uri="{C3380CC4-5D6E-409C-BE32-E72D297353CC}">
                <c16:uniqueId val="{00000005-4CEE-4C1F-BDA2-451FA82358CD}"/>
              </c:ext>
            </c:extLst>
          </c:dPt>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7-4CEE-4C1F-BDA2-451FA82358CD}"/>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9-4CEE-4C1F-BDA2-451FA82358CD}"/>
              </c:ext>
            </c:extLst>
          </c:dPt>
          <c:dPt>
            <c:idx val="5"/>
            <c:invertIfNegative val="0"/>
            <c:bubble3D val="0"/>
            <c:spPr>
              <a:solidFill>
                <a:srgbClr val="92D050"/>
              </a:solidFill>
              <a:ln>
                <a:noFill/>
              </a:ln>
              <a:effectLst/>
            </c:spPr>
            <c:extLst>
              <c:ext xmlns:c16="http://schemas.microsoft.com/office/drawing/2014/chart" uri="{C3380CC4-5D6E-409C-BE32-E72D297353CC}">
                <c16:uniqueId val="{0000000B-4CEE-4C1F-BDA2-451FA82358CD}"/>
              </c:ext>
            </c:extLst>
          </c:dPt>
          <c:dPt>
            <c:idx val="6"/>
            <c:invertIfNegative val="0"/>
            <c:bubble3D val="0"/>
            <c:spPr>
              <a:solidFill>
                <a:srgbClr val="92D050"/>
              </a:solidFill>
              <a:ln>
                <a:noFill/>
              </a:ln>
              <a:effectLst/>
            </c:spPr>
            <c:extLst>
              <c:ext xmlns:c16="http://schemas.microsoft.com/office/drawing/2014/chart" uri="{C3380CC4-5D6E-409C-BE32-E72D297353CC}">
                <c16:uniqueId val="{0000000D-4CEE-4C1F-BDA2-451FA82358CD}"/>
              </c:ext>
            </c:extLst>
          </c:dPt>
          <c:dPt>
            <c:idx val="7"/>
            <c:invertIfNegative val="0"/>
            <c:bubble3D val="0"/>
            <c:spPr>
              <a:solidFill>
                <a:srgbClr val="00B050"/>
              </a:solidFill>
              <a:ln>
                <a:noFill/>
              </a:ln>
              <a:effectLst/>
            </c:spPr>
            <c:extLst>
              <c:ext xmlns:c16="http://schemas.microsoft.com/office/drawing/2014/chart" uri="{C3380CC4-5D6E-409C-BE32-E72D297353CC}">
                <c16:uniqueId val="{0000000F-4CEE-4C1F-BDA2-451FA82358CD}"/>
              </c:ext>
            </c:extLst>
          </c:dPt>
          <c:dPt>
            <c:idx val="8"/>
            <c:invertIfNegative val="0"/>
            <c:bubble3D val="0"/>
            <c:spPr>
              <a:solidFill>
                <a:srgbClr val="00B050"/>
              </a:solidFill>
              <a:ln>
                <a:noFill/>
              </a:ln>
              <a:effectLst/>
            </c:spPr>
            <c:extLst>
              <c:ext xmlns:c16="http://schemas.microsoft.com/office/drawing/2014/chart" uri="{C3380CC4-5D6E-409C-BE32-E72D297353CC}">
                <c16:uniqueId val="{00000011-4CEE-4C1F-BDA2-451FA82358CD}"/>
              </c:ext>
            </c:extLst>
          </c:dPt>
          <c:dPt>
            <c:idx val="9"/>
            <c:invertIfNegative val="0"/>
            <c:bubble3D val="0"/>
            <c:spPr>
              <a:solidFill>
                <a:srgbClr val="00B050"/>
              </a:solidFill>
              <a:ln>
                <a:noFill/>
              </a:ln>
              <a:effectLst/>
            </c:spPr>
            <c:extLst>
              <c:ext xmlns:c16="http://schemas.microsoft.com/office/drawing/2014/chart" uri="{C3380CC4-5D6E-409C-BE32-E72D297353CC}">
                <c16:uniqueId val="{00000013-4CEE-4C1F-BDA2-451FA82358C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'Sales(Product) 2'!$A$4:$A$14</c:f>
              <c:strCache>
                <c:ptCount val="10"/>
                <c:pt idx="0">
                  <c:v>Camera</c:v>
                </c:pt>
                <c:pt idx="1">
                  <c:v>Sunglasses</c:v>
                </c:pt>
                <c:pt idx="2">
                  <c:v>Smartphone</c:v>
                </c:pt>
                <c:pt idx="3">
                  <c:v>Headphones</c:v>
                </c:pt>
                <c:pt idx="4">
                  <c:v>Jacket</c:v>
                </c:pt>
                <c:pt idx="5">
                  <c:v>Shoes</c:v>
                </c:pt>
                <c:pt idx="6">
                  <c:v>Watch</c:v>
                </c:pt>
                <c:pt idx="7">
                  <c:v>Tablet</c:v>
                </c:pt>
                <c:pt idx="8">
                  <c:v>T-shirt</c:v>
                </c:pt>
                <c:pt idx="9">
                  <c:v>Laptop</c:v>
                </c:pt>
              </c:strCache>
            </c:strRef>
          </c:cat>
          <c:val>
            <c:numRef>
              <c:f>'Sales(Product) 2'!$B$4:$B$14</c:f>
              <c:numCache>
                <c:formatCode>#,##0.00,"K"</c:formatCode>
                <c:ptCount val="10"/>
                <c:pt idx="0">
                  <c:v>56332</c:v>
                </c:pt>
                <c:pt idx="1">
                  <c:v>61134</c:v>
                </c:pt>
                <c:pt idx="2">
                  <c:v>62988</c:v>
                </c:pt>
                <c:pt idx="3">
                  <c:v>64234</c:v>
                </c:pt>
                <c:pt idx="4">
                  <c:v>67553</c:v>
                </c:pt>
                <c:pt idx="5">
                  <c:v>68625</c:v>
                </c:pt>
                <c:pt idx="6">
                  <c:v>77642</c:v>
                </c:pt>
                <c:pt idx="7">
                  <c:v>78999</c:v>
                </c:pt>
                <c:pt idx="8">
                  <c:v>95243</c:v>
                </c:pt>
                <c:pt idx="9">
                  <c:v>99040</c:v>
                </c:pt>
              </c:numCache>
            </c:numRef>
          </c:val>
          <c:extLst>
            <c:ext xmlns:c16="http://schemas.microsoft.com/office/drawing/2014/chart" uri="{C3380CC4-5D6E-409C-BE32-E72D297353CC}">
              <c16:uniqueId val="{00000014-4CEE-4C1F-BDA2-451FA82358CD}"/>
            </c:ext>
          </c:extLst>
        </c:ser>
        <c:dLbls>
          <c:dLblPos val="outEnd"/>
          <c:showLegendKey val="0"/>
          <c:showVal val="1"/>
          <c:showCatName val="0"/>
          <c:showSerName val="0"/>
          <c:showPercent val="0"/>
          <c:showBubbleSize val="0"/>
        </c:dLbls>
        <c:gapWidth val="182"/>
        <c:axId val="2104105551"/>
        <c:axId val="2104106991"/>
      </c:barChart>
      <c:catAx>
        <c:axId val="210410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106991"/>
        <c:crosses val="autoZero"/>
        <c:auto val="1"/>
        <c:lblAlgn val="ctr"/>
        <c:lblOffset val="100"/>
        <c:noMultiLvlLbl val="0"/>
      </c:catAx>
      <c:valAx>
        <c:axId val="2104106991"/>
        <c:scaling>
          <c:orientation val="minMax"/>
        </c:scaling>
        <c:delete val="1"/>
        <c:axPos val="b"/>
        <c:numFmt formatCode="#,##0.00,&quot;K&quot;" sourceLinked="1"/>
        <c:majorTickMark val="none"/>
        <c:minorTickMark val="none"/>
        <c:tickLblPos val="nextTo"/>
        <c:crossAx val="210410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Baskerville Old Face" panose="02020602080505020303" pitchFamily="18" charset="0"/>
                <a:ea typeface="+mn-ea"/>
                <a:cs typeface="+mn-cs"/>
              </a:defRPr>
            </a:pPr>
            <a:r>
              <a:rPr lang="en-IN" sz="1400" b="1" i="0" u="none" strike="noStrike" baseline="0">
                <a:solidFill>
                  <a:schemeClr val="tx1"/>
                </a:solidFill>
                <a:latin typeface="Baskerville Old Face" panose="02020602080505020303" pitchFamily="18" charset="0"/>
              </a:rPr>
              <a:t>Customer Revenue Contribution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Baskerville Old Face" panose="02020602080505020303" pitchFamily="18" charset="0"/>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F1D6-4A68-A34A-BFBC0C590B9A}"/>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3-F1D6-4A68-A34A-BFBC0C590B9A}"/>
              </c:ext>
            </c:extLst>
          </c:dPt>
          <c:dLbls>
            <c:dLbl>
              <c:idx val="0"/>
              <c:layout>
                <c:manualLayout>
                  <c:x val="-8.8737289627933938E-2"/>
                  <c:y val="0.17129629629629625"/>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7342507106739437E-2"/>
                      <c:h val="0.13806649168853893"/>
                    </c:manualLayout>
                  </c15:layout>
                </c:ext>
                <c:ext xmlns:c16="http://schemas.microsoft.com/office/drawing/2014/chart" uri="{C3380CC4-5D6E-409C-BE32-E72D297353CC}">
                  <c16:uniqueId val="{00000001-F1D6-4A68-A34A-BFBC0C590B9A}"/>
                </c:ext>
              </c:extLst>
            </c:dLbl>
            <c:dLbl>
              <c:idx val="1"/>
              <c:layout>
                <c:manualLayout>
                  <c:x val="0.14057518049860376"/>
                  <c:y val="-0.2106481481481482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5010238736132416E-2"/>
                      <c:h val="0.11491834354039078"/>
                    </c:manualLayout>
                  </c15:layout>
                </c:ext>
                <c:ext xmlns:c16="http://schemas.microsoft.com/office/drawing/2014/chart" uri="{C3380CC4-5D6E-409C-BE32-E72D297353CC}">
                  <c16:uniqueId val="{00000003-F1D6-4A68-A34A-BFBC0C590B9A}"/>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20% Customers'!$F$4:$F$5</c:f>
              <c:strCache>
                <c:ptCount val="2"/>
                <c:pt idx="0">
                  <c:v>Top Revenue Customers</c:v>
                </c:pt>
                <c:pt idx="1">
                  <c:v>Remaining Customers</c:v>
                </c:pt>
              </c:strCache>
            </c:strRef>
          </c:cat>
          <c:val>
            <c:numRef>
              <c:f>'Top 20% Customers'!$G$4:$G$5</c:f>
              <c:numCache>
                <c:formatCode>General</c:formatCode>
                <c:ptCount val="2"/>
                <c:pt idx="0">
                  <c:v>147115</c:v>
                </c:pt>
                <c:pt idx="1">
                  <c:v>584675</c:v>
                </c:pt>
              </c:numCache>
            </c:numRef>
          </c:val>
          <c:extLst>
            <c:ext xmlns:c16="http://schemas.microsoft.com/office/drawing/2014/chart" uri="{C3380CC4-5D6E-409C-BE32-E72D297353CC}">
              <c16:uniqueId val="{00000004-F1D6-4A68-A34A-BFBC0C590B9A}"/>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(Recovered).xlsx]Repeated Customers!PivotTable3</c:name>
    <c:fmtId val="4"/>
  </c:pivotSource>
  <c:chart>
    <c:title>
      <c:tx>
        <c:rich>
          <a:bodyPr rot="0" spcFirstLastPara="1" vertOverflow="ellipsis" vert="horz" wrap="square" anchor="ctr" anchorCtr="1"/>
          <a:lstStyle/>
          <a:p>
            <a:pPr>
              <a:defRPr sz="1400" b="1" i="0" u="none" strike="noStrike" kern="1200" cap="all" spc="50" baseline="0">
                <a:solidFill>
                  <a:schemeClr val="tx1"/>
                </a:solidFill>
                <a:latin typeface="Baskerville Old Face" panose="02020602080505020303" pitchFamily="18" charset="0"/>
                <a:ea typeface="+mn-ea"/>
                <a:cs typeface="+mn-cs"/>
              </a:defRPr>
            </a:pPr>
            <a:r>
              <a:rPr lang="en-US" sz="1400">
                <a:solidFill>
                  <a:schemeClr val="tx1"/>
                </a:solidFill>
                <a:latin typeface="Baskerville Old Face" panose="02020602080505020303" pitchFamily="18" charset="0"/>
              </a:rPr>
              <a:t>Most Loyal Customers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solidFill>
              <a:latin typeface="Baskerville Old Face" panose="02020602080505020303" pitchFamily="18" charset="0"/>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'Repeated Customers'!$B$3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'Repeated Customers'!$A$4:$A$8</c:f>
              <c:strCache>
                <c:ptCount val="5"/>
                <c:pt idx="0">
                  <c:v>CI_149</c:v>
                </c:pt>
                <c:pt idx="1">
                  <c:v>CI_32</c:v>
                </c:pt>
                <c:pt idx="2">
                  <c:v>CI_130</c:v>
                </c:pt>
                <c:pt idx="3">
                  <c:v>CI_188</c:v>
                </c:pt>
                <c:pt idx="4">
                  <c:v>CI_169</c:v>
                </c:pt>
              </c:strCache>
            </c:strRef>
          </c:cat>
          <c:val>
            <c:numRef>
              <c:f>'Repeated Customers'!$B$4:$B$8</c:f>
              <c:numCache>
                <c:formatCode>General</c:formatCode>
                <c:ptCount val="5"/>
                <c:pt idx="0">
                  <c:v>13</c:v>
                </c:pt>
                <c:pt idx="1">
                  <c:v>7</c:v>
                </c:pt>
                <c:pt idx="2">
                  <c:v>7</c:v>
                </c:pt>
                <c:pt idx="3">
                  <c:v>6</c:v>
                </c:pt>
                <c:pt idx="4">
                  <c:v>6</c:v>
                </c:pt>
              </c:numCache>
            </c:numRef>
          </c:val>
          <c:extLst>
            <c:ext xmlns:c16="http://schemas.microsoft.com/office/drawing/2014/chart" uri="{C3380CC4-5D6E-409C-BE32-E72D297353CC}">
              <c16:uniqueId val="{00000005-9811-47B0-82AD-5EF4B9A5F473}"/>
            </c:ext>
          </c:extLst>
        </c:ser>
        <c:dLbls>
          <c:dLblPos val="outEnd"/>
          <c:showLegendKey val="0"/>
          <c:showVal val="1"/>
          <c:showCatName val="0"/>
          <c:showSerName val="0"/>
          <c:showPercent val="0"/>
          <c:showBubbleSize val="0"/>
        </c:dLbls>
        <c:gapWidth val="326"/>
        <c:overlap val="-58"/>
        <c:axId val="2105044655"/>
        <c:axId val="2105029295"/>
      </c:barChart>
      <c:catAx>
        <c:axId val="210504465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29295"/>
        <c:crosses val="autoZero"/>
        <c:auto val="1"/>
        <c:lblAlgn val="ctr"/>
        <c:lblOffset val="100"/>
        <c:noMultiLvlLbl val="0"/>
      </c:catAx>
      <c:valAx>
        <c:axId val="2105029295"/>
        <c:scaling>
          <c:orientation val="minMax"/>
        </c:scaling>
        <c:delete val="1"/>
        <c:axPos val="b"/>
        <c:numFmt formatCode="General" sourceLinked="1"/>
        <c:majorTickMark val="none"/>
        <c:minorTickMark val="none"/>
        <c:tickLblPos val="nextTo"/>
        <c:crossAx val="210504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(Recovered).xlsx]Monthly Sales Analysis!PivotTable2</c:name>
    <c:fmtId val="0"/>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a:solidFill>
                  <a:schemeClr val="tx1"/>
                </a:solidFill>
              </a:rPr>
              <a:t>Monthly Sales</a:t>
            </a:r>
            <a:r>
              <a:rPr lang="en-US" baseline="0">
                <a:solidFill>
                  <a:schemeClr val="tx1"/>
                </a:solidFill>
              </a:rPr>
              <a:t> Analysis</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Analysis'!$B$3</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'Monthly Sales Analysis'!$A$4:$A$15</c:f>
              <c:strCache>
                <c:ptCount val="12"/>
                <c:pt idx="0">
                  <c:v>January  </c:v>
                </c:pt>
                <c:pt idx="1">
                  <c:v>February </c:v>
                </c:pt>
                <c:pt idx="2">
                  <c:v>March    </c:v>
                </c:pt>
                <c:pt idx="3">
                  <c:v>April    </c:v>
                </c:pt>
                <c:pt idx="4">
                  <c:v>May      </c:v>
                </c:pt>
                <c:pt idx="5">
                  <c:v>June     </c:v>
                </c:pt>
                <c:pt idx="6">
                  <c:v>July     </c:v>
                </c:pt>
                <c:pt idx="7">
                  <c:v>August   </c:v>
                </c:pt>
                <c:pt idx="8">
                  <c:v>September</c:v>
                </c:pt>
                <c:pt idx="9">
                  <c:v>October  </c:v>
                </c:pt>
                <c:pt idx="10">
                  <c:v>November </c:v>
                </c:pt>
                <c:pt idx="11">
                  <c:v>December </c:v>
                </c:pt>
              </c:strCache>
            </c:strRef>
          </c:cat>
          <c:val>
            <c:numRef>
              <c:f>'Monthly Sales Analysis'!$B$4:$B$15</c:f>
              <c:numCache>
                <c:formatCode>#,##0.00,"K"</c:formatCode>
                <c:ptCount val="12"/>
                <c:pt idx="0">
                  <c:v>54020</c:v>
                </c:pt>
                <c:pt idx="1">
                  <c:v>61316</c:v>
                </c:pt>
                <c:pt idx="2">
                  <c:v>54013</c:v>
                </c:pt>
                <c:pt idx="3">
                  <c:v>65379</c:v>
                </c:pt>
                <c:pt idx="4">
                  <c:v>64927</c:v>
                </c:pt>
                <c:pt idx="5">
                  <c:v>64948</c:v>
                </c:pt>
                <c:pt idx="6">
                  <c:v>61130</c:v>
                </c:pt>
                <c:pt idx="7">
                  <c:v>96241</c:v>
                </c:pt>
                <c:pt idx="8">
                  <c:v>66313</c:v>
                </c:pt>
                <c:pt idx="9">
                  <c:v>51339</c:v>
                </c:pt>
                <c:pt idx="10">
                  <c:v>46723</c:v>
                </c:pt>
                <c:pt idx="11">
                  <c:v>45441</c:v>
                </c:pt>
              </c:numCache>
            </c:numRef>
          </c:val>
          <c:smooth val="0"/>
          <c:extLst>
            <c:ext xmlns:c16="http://schemas.microsoft.com/office/drawing/2014/chart" uri="{C3380CC4-5D6E-409C-BE32-E72D297353CC}">
              <c16:uniqueId val="{00000006-4E8B-46DF-9482-C6EE012CC0DA}"/>
            </c:ext>
          </c:extLst>
        </c:ser>
        <c:dLbls>
          <c:dLblPos val="t"/>
          <c:showLegendKey val="0"/>
          <c:showVal val="1"/>
          <c:showCatName val="0"/>
          <c:showSerName val="0"/>
          <c:showPercent val="0"/>
          <c:showBubbleSize val="0"/>
        </c:dLbls>
        <c:marker val="1"/>
        <c:smooth val="0"/>
        <c:axId val="2104111311"/>
        <c:axId val="2104122351"/>
      </c:lineChart>
      <c:catAx>
        <c:axId val="210411131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104122351"/>
        <c:crosses val="autoZero"/>
        <c:auto val="1"/>
        <c:lblAlgn val="ctr"/>
        <c:lblOffset val="100"/>
        <c:noMultiLvlLbl val="0"/>
      </c:catAx>
      <c:valAx>
        <c:axId val="2104122351"/>
        <c:scaling>
          <c:orientation val="minMax"/>
        </c:scaling>
        <c:delete val="1"/>
        <c:axPos val="l"/>
        <c:numFmt formatCode="#,##0.00,&quot;K&quot;" sourceLinked="1"/>
        <c:majorTickMark val="none"/>
        <c:minorTickMark val="none"/>
        <c:tickLblPos val="nextTo"/>
        <c:crossAx val="2104111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(Recovered).xlsx]Age Group 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lumMod val="65000"/>
                    <a:lumOff val="35000"/>
                  </a:sysClr>
                </a:solidFill>
              </a:rPr>
              <a:t>Revenue by Age Group and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'Age Group Analysis'!$B$3:$B$4</c:f>
              <c:strCache>
                <c:ptCount val="1"/>
                <c:pt idx="0">
                  <c:v>Female</c:v>
                </c:pt>
              </c:strCache>
            </c:strRef>
          </c:tx>
          <c:spPr>
            <a:solidFill>
              <a:srgbClr val="FF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Analysis'!$A$5:$A$10</c:f>
              <c:strCache>
                <c:ptCount val="6"/>
                <c:pt idx="0">
                  <c:v>Above 60</c:v>
                </c:pt>
                <c:pt idx="1">
                  <c:v>50-59</c:v>
                </c:pt>
                <c:pt idx="2">
                  <c:v>40-49</c:v>
                </c:pt>
                <c:pt idx="3">
                  <c:v>30-39</c:v>
                </c:pt>
                <c:pt idx="4">
                  <c:v>20-29</c:v>
                </c:pt>
                <c:pt idx="5">
                  <c:v>Under 20</c:v>
                </c:pt>
              </c:strCache>
            </c:strRef>
          </c:cat>
          <c:val>
            <c:numRef>
              <c:f>'Age Group Analysis'!$B$5:$B$10</c:f>
              <c:numCache>
                <c:formatCode>#,##0.0,"K"</c:formatCode>
                <c:ptCount val="6"/>
                <c:pt idx="0">
                  <c:v>44079</c:v>
                </c:pt>
                <c:pt idx="1">
                  <c:v>71427</c:v>
                </c:pt>
                <c:pt idx="2">
                  <c:v>70373</c:v>
                </c:pt>
                <c:pt idx="3">
                  <c:v>54728</c:v>
                </c:pt>
                <c:pt idx="4">
                  <c:v>76210</c:v>
                </c:pt>
                <c:pt idx="5">
                  <c:v>23340</c:v>
                </c:pt>
              </c:numCache>
            </c:numRef>
          </c:val>
          <c:extLst>
            <c:ext xmlns:c16="http://schemas.microsoft.com/office/drawing/2014/chart" uri="{C3380CC4-5D6E-409C-BE32-E72D297353CC}">
              <c16:uniqueId val="{00000000-37F3-4EB1-82E9-CC3FB259D613}"/>
            </c:ext>
          </c:extLst>
        </c:ser>
        <c:ser>
          <c:idx val="1"/>
          <c:order val="1"/>
          <c:tx>
            <c:strRef>
              <c:f>'Age Group Analysis'!$C$3:$C$4</c:f>
              <c:strCache>
                <c:ptCount val="1"/>
                <c:pt idx="0">
                  <c:v>Male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'Age Group Analysis'!$A$5:$A$10</c:f>
              <c:strCache>
                <c:ptCount val="6"/>
                <c:pt idx="0">
                  <c:v>Above 60</c:v>
                </c:pt>
                <c:pt idx="1">
                  <c:v>50-59</c:v>
                </c:pt>
                <c:pt idx="2">
                  <c:v>40-49</c:v>
                </c:pt>
                <c:pt idx="3">
                  <c:v>30-39</c:v>
                </c:pt>
                <c:pt idx="4">
                  <c:v>20-29</c:v>
                </c:pt>
                <c:pt idx="5">
                  <c:v>Under 20</c:v>
                </c:pt>
              </c:strCache>
            </c:strRef>
          </c:cat>
          <c:val>
            <c:numRef>
              <c:f>'Age Group Analysis'!$C$5:$C$10</c:f>
              <c:numCache>
                <c:formatCode>#,##0.0,"K"</c:formatCode>
                <c:ptCount val="6"/>
                <c:pt idx="0">
                  <c:v>36583</c:v>
                </c:pt>
                <c:pt idx="1">
                  <c:v>99369</c:v>
                </c:pt>
                <c:pt idx="2">
                  <c:v>88946</c:v>
                </c:pt>
                <c:pt idx="3">
                  <c:v>60450</c:v>
                </c:pt>
                <c:pt idx="4">
                  <c:v>89162</c:v>
                </c:pt>
                <c:pt idx="5">
                  <c:v>17123</c:v>
                </c:pt>
              </c:numCache>
            </c:numRef>
          </c:val>
          <c:extLst>
            <c:ext xmlns:c16="http://schemas.microsoft.com/office/drawing/2014/chart" uri="{C3380CC4-5D6E-409C-BE32-E72D297353CC}">
              <c16:uniqueId val="{00000001-37F3-4EB1-82E9-CC3FB259D613}"/>
            </c:ext>
          </c:extLst>
        </c:ser>
        <c:dLbls>
          <c:dLblPos val="outEnd"/>
          <c:showLegendKey val="0"/>
          <c:showVal val="1"/>
          <c:showCatName val="0"/>
          <c:showSerName val="0"/>
          <c:showPercent val="0"/>
          <c:showBubbleSize val="0"/>
        </c:dLbls>
        <c:gapWidth val="182"/>
        <c:axId val="2104111791"/>
        <c:axId val="2104113711"/>
      </c:barChart>
      <c:catAx>
        <c:axId val="21041117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113711"/>
        <c:crosses val="autoZero"/>
        <c:auto val="1"/>
        <c:lblAlgn val="ctr"/>
        <c:lblOffset val="100"/>
        <c:noMultiLvlLbl val="0"/>
      </c:catAx>
      <c:valAx>
        <c:axId val="2104113711"/>
        <c:scaling>
          <c:orientation val="minMax"/>
        </c:scaling>
        <c:delete val="1"/>
        <c:axPos val="b"/>
        <c:numFmt formatCode="#,##0.0,&quot;K&quot;" sourceLinked="1"/>
        <c:majorTickMark val="none"/>
        <c:minorTickMark val="none"/>
        <c:tickLblPos val="nextTo"/>
        <c:crossAx val="210411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(Recovered).xlsx]Sales(Product) 2!PivotTable4</c:name>
    <c:fmtId val="0"/>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US" sz="1400" b="1">
                <a:solidFill>
                  <a:schemeClr val="tx1"/>
                </a:solidFill>
              </a:rPr>
              <a:t>Product</a:t>
            </a:r>
            <a:r>
              <a:rPr lang="en-US" sz="1400" b="1" baseline="0">
                <a:solidFill>
                  <a:schemeClr val="tx1"/>
                </a:solidFill>
              </a:rPr>
              <a:t> Revenue Performance</a:t>
            </a:r>
            <a:endParaRPr lang="en-US" sz="1400" b="1">
              <a:solidFill>
                <a:schemeClr val="tx1"/>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B050"/>
          </a:solidFill>
          <a:ln>
            <a:noFill/>
          </a:ln>
          <a:effectLst/>
        </c:spPr>
      </c:pivotFmt>
      <c:pivotFmt>
        <c:idx val="2"/>
        <c:spPr>
          <a:solidFill>
            <a:srgbClr val="00B050"/>
          </a:solidFill>
          <a:ln>
            <a:noFill/>
          </a:ln>
          <a:effectLst/>
        </c:spPr>
      </c:pivotFmt>
      <c:pivotFmt>
        <c:idx val="3"/>
        <c:spPr>
          <a:solidFill>
            <a:srgbClr val="00B050"/>
          </a:solidFill>
          <a:ln>
            <a:noFill/>
          </a:ln>
          <a:effectLst/>
        </c:spPr>
      </c:pivotFmt>
      <c:pivotFmt>
        <c:idx val="4"/>
        <c:spPr>
          <a:solidFill>
            <a:srgbClr val="FF0000"/>
          </a:solidFill>
          <a:ln>
            <a:noFill/>
          </a:ln>
          <a:effectLst/>
        </c:spPr>
      </c:pivotFmt>
      <c:pivotFmt>
        <c:idx val="5"/>
        <c:spPr>
          <a:solidFill>
            <a:srgbClr val="FF0000"/>
          </a:solidFill>
          <a:ln>
            <a:noFill/>
          </a:ln>
          <a:effectLst/>
        </c:spPr>
      </c:pivotFmt>
      <c:pivotFmt>
        <c:idx val="6"/>
        <c:spPr>
          <a:solidFill>
            <a:srgbClr val="FF0000"/>
          </a:solidFill>
          <a:ln>
            <a:noFill/>
          </a:ln>
          <a:effectLst/>
        </c:spPr>
      </c:pivotFmt>
      <c:pivotFmt>
        <c:idx val="7"/>
        <c:spPr>
          <a:solidFill>
            <a:srgbClr val="92D050"/>
          </a:solidFill>
          <a:ln>
            <a:noFill/>
          </a:ln>
          <a:effectLst/>
        </c:spPr>
      </c:pivotFmt>
      <c:pivotFmt>
        <c:idx val="8"/>
        <c:spPr>
          <a:solidFill>
            <a:srgbClr val="92D050"/>
          </a:solidFill>
          <a:ln>
            <a:noFill/>
          </a:ln>
          <a:effectLst/>
        </c:spPr>
      </c:pivotFmt>
      <c:pivotFmt>
        <c:idx val="9"/>
        <c:spPr>
          <a:solidFill>
            <a:schemeClr val="accent4">
              <a:lumMod val="60000"/>
              <a:lumOff val="40000"/>
            </a:schemeClr>
          </a:solidFill>
          <a:ln>
            <a:noFill/>
          </a:ln>
          <a:effectLst/>
        </c:spPr>
      </c:pivotFmt>
      <c:pivotFmt>
        <c:idx val="10"/>
        <c:spPr>
          <a:solidFill>
            <a:schemeClr val="accent4">
              <a:lumMod val="60000"/>
              <a:lumOff val="40000"/>
            </a:schemeClr>
          </a:solidFill>
          <a:ln>
            <a:noFill/>
          </a:ln>
          <a:effectLst/>
        </c:spPr>
      </c:pivotFmt>
    </c:pivotFmts>
    <c:plotArea>
      <c:layout/>
      <c:barChart>
        <c:barDir val="bar"/>
        <c:grouping val="clustered"/>
        <c:varyColors val="0"/>
        <c:ser>
          <c:idx val="0"/>
          <c:order val="0"/>
          <c:tx>
            <c:strRef>
              <c:f>'Sales(Product) 2'!$B$3</c:f>
              <c:strCache>
                <c:ptCount val="1"/>
                <c:pt idx="0">
                  <c:v>Total</c:v>
                </c:pt>
              </c:strCache>
            </c:strRef>
          </c:tx>
          <c:spPr>
            <a:solidFill>
              <a:schemeClr val="accent1"/>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5-90A1-4C51-98C7-77696C0FE6C0}"/>
              </c:ext>
            </c:extLst>
          </c:dPt>
          <c:dPt>
            <c:idx val="1"/>
            <c:invertIfNegative val="0"/>
            <c:bubble3D val="0"/>
            <c:spPr>
              <a:solidFill>
                <a:srgbClr val="FF0000"/>
              </a:solidFill>
              <a:ln>
                <a:noFill/>
              </a:ln>
              <a:effectLst/>
            </c:spPr>
            <c:extLst>
              <c:ext xmlns:c16="http://schemas.microsoft.com/office/drawing/2014/chart" uri="{C3380CC4-5D6E-409C-BE32-E72D297353CC}">
                <c16:uniqueId val="{00000006-90A1-4C51-98C7-77696C0FE6C0}"/>
              </c:ext>
            </c:extLst>
          </c:dPt>
          <c:dPt>
            <c:idx val="2"/>
            <c:invertIfNegative val="0"/>
            <c:bubble3D val="0"/>
            <c:spPr>
              <a:solidFill>
                <a:srgbClr val="FF0000"/>
              </a:solidFill>
              <a:ln>
                <a:noFill/>
              </a:ln>
              <a:effectLst/>
            </c:spPr>
            <c:extLst>
              <c:ext xmlns:c16="http://schemas.microsoft.com/office/drawing/2014/chart" uri="{C3380CC4-5D6E-409C-BE32-E72D297353CC}">
                <c16:uniqueId val="{00000007-90A1-4C51-98C7-77696C0FE6C0}"/>
              </c:ext>
            </c:extLst>
          </c:dPt>
          <c:dPt>
            <c:idx val="3"/>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B-90A1-4C51-98C7-77696C0FE6C0}"/>
              </c:ext>
            </c:extLst>
          </c:dPt>
          <c:dPt>
            <c:idx val="4"/>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A-90A1-4C51-98C7-77696C0FE6C0}"/>
              </c:ext>
            </c:extLst>
          </c:dPt>
          <c:dPt>
            <c:idx val="5"/>
            <c:invertIfNegative val="0"/>
            <c:bubble3D val="0"/>
            <c:spPr>
              <a:solidFill>
                <a:srgbClr val="92D050"/>
              </a:solidFill>
              <a:ln>
                <a:noFill/>
              </a:ln>
              <a:effectLst/>
            </c:spPr>
            <c:extLst>
              <c:ext xmlns:c16="http://schemas.microsoft.com/office/drawing/2014/chart" uri="{C3380CC4-5D6E-409C-BE32-E72D297353CC}">
                <c16:uniqueId val="{00000009-90A1-4C51-98C7-77696C0FE6C0}"/>
              </c:ext>
            </c:extLst>
          </c:dPt>
          <c:dPt>
            <c:idx val="6"/>
            <c:invertIfNegative val="0"/>
            <c:bubble3D val="0"/>
            <c:spPr>
              <a:solidFill>
                <a:srgbClr val="92D050"/>
              </a:solidFill>
              <a:ln>
                <a:noFill/>
              </a:ln>
              <a:effectLst/>
            </c:spPr>
            <c:extLst>
              <c:ext xmlns:c16="http://schemas.microsoft.com/office/drawing/2014/chart" uri="{C3380CC4-5D6E-409C-BE32-E72D297353CC}">
                <c16:uniqueId val="{00000008-90A1-4C51-98C7-77696C0FE6C0}"/>
              </c:ext>
            </c:extLst>
          </c:dPt>
          <c:dPt>
            <c:idx val="7"/>
            <c:invertIfNegative val="0"/>
            <c:bubble3D val="0"/>
            <c:spPr>
              <a:solidFill>
                <a:srgbClr val="00B050"/>
              </a:solidFill>
              <a:ln>
                <a:noFill/>
              </a:ln>
              <a:effectLst/>
            </c:spPr>
            <c:extLst>
              <c:ext xmlns:c16="http://schemas.microsoft.com/office/drawing/2014/chart" uri="{C3380CC4-5D6E-409C-BE32-E72D297353CC}">
                <c16:uniqueId val="{00000004-90A1-4C51-98C7-77696C0FE6C0}"/>
              </c:ext>
            </c:extLst>
          </c:dPt>
          <c:dPt>
            <c:idx val="8"/>
            <c:invertIfNegative val="0"/>
            <c:bubble3D val="0"/>
            <c:spPr>
              <a:solidFill>
                <a:srgbClr val="00B050"/>
              </a:solidFill>
              <a:ln>
                <a:noFill/>
              </a:ln>
              <a:effectLst/>
            </c:spPr>
            <c:extLst>
              <c:ext xmlns:c16="http://schemas.microsoft.com/office/drawing/2014/chart" uri="{C3380CC4-5D6E-409C-BE32-E72D297353CC}">
                <c16:uniqueId val="{00000003-90A1-4C51-98C7-77696C0FE6C0}"/>
              </c:ext>
            </c:extLst>
          </c:dPt>
          <c:dPt>
            <c:idx val="9"/>
            <c:invertIfNegative val="0"/>
            <c:bubble3D val="0"/>
            <c:spPr>
              <a:solidFill>
                <a:srgbClr val="00B050"/>
              </a:solidFill>
              <a:ln>
                <a:noFill/>
              </a:ln>
              <a:effectLst/>
            </c:spPr>
            <c:extLst>
              <c:ext xmlns:c16="http://schemas.microsoft.com/office/drawing/2014/chart" uri="{C3380CC4-5D6E-409C-BE32-E72D297353CC}">
                <c16:uniqueId val="{00000002-90A1-4C51-98C7-77696C0FE6C0}"/>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'Sales(Product) 2'!$A$4:$A$14</c:f>
              <c:strCache>
                <c:ptCount val="10"/>
                <c:pt idx="0">
                  <c:v>Camera</c:v>
                </c:pt>
                <c:pt idx="1">
                  <c:v>Sunglasses</c:v>
                </c:pt>
                <c:pt idx="2">
                  <c:v>Smartphone</c:v>
                </c:pt>
                <c:pt idx="3">
                  <c:v>Headphones</c:v>
                </c:pt>
                <c:pt idx="4">
                  <c:v>Jacket</c:v>
                </c:pt>
                <c:pt idx="5">
                  <c:v>Shoes</c:v>
                </c:pt>
                <c:pt idx="6">
                  <c:v>Watch</c:v>
                </c:pt>
                <c:pt idx="7">
                  <c:v>Tablet</c:v>
                </c:pt>
                <c:pt idx="8">
                  <c:v>T-shirt</c:v>
                </c:pt>
                <c:pt idx="9">
                  <c:v>Laptop</c:v>
                </c:pt>
              </c:strCache>
            </c:strRef>
          </c:cat>
          <c:val>
            <c:numRef>
              <c:f>'Sales(Product) 2'!$B$4:$B$14</c:f>
              <c:numCache>
                <c:formatCode>#,##0.00,"K"</c:formatCode>
                <c:ptCount val="10"/>
                <c:pt idx="0">
                  <c:v>56332</c:v>
                </c:pt>
                <c:pt idx="1">
                  <c:v>61134</c:v>
                </c:pt>
                <c:pt idx="2">
                  <c:v>62988</c:v>
                </c:pt>
                <c:pt idx="3">
                  <c:v>64234</c:v>
                </c:pt>
                <c:pt idx="4">
                  <c:v>67553</c:v>
                </c:pt>
                <c:pt idx="5">
                  <c:v>68625</c:v>
                </c:pt>
                <c:pt idx="6">
                  <c:v>77642</c:v>
                </c:pt>
                <c:pt idx="7">
                  <c:v>78999</c:v>
                </c:pt>
                <c:pt idx="8">
                  <c:v>95243</c:v>
                </c:pt>
                <c:pt idx="9">
                  <c:v>99040</c:v>
                </c:pt>
              </c:numCache>
            </c:numRef>
          </c:val>
          <c:extLst>
            <c:ext xmlns:c16="http://schemas.microsoft.com/office/drawing/2014/chart" uri="{C3380CC4-5D6E-409C-BE32-E72D297353CC}">
              <c16:uniqueId val="{00000000-90A1-4C51-98C7-77696C0FE6C0}"/>
            </c:ext>
          </c:extLst>
        </c:ser>
        <c:dLbls>
          <c:dLblPos val="outEnd"/>
          <c:showLegendKey val="0"/>
          <c:showVal val="1"/>
          <c:showCatName val="0"/>
          <c:showSerName val="0"/>
          <c:showPercent val="0"/>
          <c:showBubbleSize val="0"/>
        </c:dLbls>
        <c:gapWidth val="182"/>
        <c:axId val="2104105551"/>
        <c:axId val="2104106991"/>
      </c:barChart>
      <c:catAx>
        <c:axId val="21041055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4106991"/>
        <c:crosses val="autoZero"/>
        <c:auto val="1"/>
        <c:lblAlgn val="ctr"/>
        <c:lblOffset val="100"/>
        <c:noMultiLvlLbl val="0"/>
      </c:catAx>
      <c:valAx>
        <c:axId val="2104106991"/>
        <c:scaling>
          <c:orientation val="minMax"/>
        </c:scaling>
        <c:delete val="1"/>
        <c:axPos val="b"/>
        <c:numFmt formatCode="#,##0.00,&quot;K&quot;" sourceLinked="1"/>
        <c:majorTickMark val="none"/>
        <c:minorTickMark val="none"/>
        <c:tickLblPos val="nextTo"/>
        <c:crossAx val="2104105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sz="1400" b="1" i="0" u="none" strike="noStrike" baseline="0"/>
              <a:t>Customer Revenue Contribution Analysis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rgbClr val="00B050"/>
              </a:solidFill>
              <a:ln w="19050">
                <a:solidFill>
                  <a:schemeClr val="lt1"/>
                </a:solidFill>
              </a:ln>
              <a:effectLst/>
            </c:spPr>
            <c:extLst>
              <c:ext xmlns:c16="http://schemas.microsoft.com/office/drawing/2014/chart" uri="{C3380CC4-5D6E-409C-BE32-E72D297353CC}">
                <c16:uniqueId val="{00000001-8EF3-43CD-99B7-E90EA9D7A948}"/>
              </c:ext>
            </c:extLst>
          </c:dPt>
          <c:dPt>
            <c:idx val="1"/>
            <c:bubble3D val="0"/>
            <c:spPr>
              <a:solidFill>
                <a:srgbClr val="FFC000"/>
              </a:solidFill>
              <a:ln w="19050">
                <a:solidFill>
                  <a:schemeClr val="lt1"/>
                </a:solidFill>
              </a:ln>
              <a:effectLst/>
            </c:spPr>
            <c:extLst>
              <c:ext xmlns:c16="http://schemas.microsoft.com/office/drawing/2014/chart" uri="{C3380CC4-5D6E-409C-BE32-E72D297353CC}">
                <c16:uniqueId val="{00000002-8EF3-43CD-99B7-E90EA9D7A948}"/>
              </c:ext>
            </c:extLst>
          </c:dPt>
          <c:dLbls>
            <c:dLbl>
              <c:idx val="0"/>
              <c:layout>
                <c:manualLayout>
                  <c:x val="-8.8737289627933938E-2"/>
                  <c:y val="0.17129629629629625"/>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8.7342507106739437E-2"/>
                      <c:h val="0.13806649168853893"/>
                    </c:manualLayout>
                  </c15:layout>
                </c:ext>
                <c:ext xmlns:c16="http://schemas.microsoft.com/office/drawing/2014/chart" uri="{C3380CC4-5D6E-409C-BE32-E72D297353CC}">
                  <c16:uniqueId val="{00000001-8EF3-43CD-99B7-E90EA9D7A948}"/>
                </c:ext>
              </c:extLst>
            </c:dLbl>
            <c:dLbl>
              <c:idx val="1"/>
              <c:layout>
                <c:manualLayout>
                  <c:x val="0.14057518049860376"/>
                  <c:y val="-0.21064814814814822"/>
                </c:manualLayout>
              </c:layout>
              <c:spPr>
                <a:noFill/>
                <a:ln>
                  <a:noFill/>
                </a:ln>
                <a:effectLst/>
              </c:spPr>
              <c:txPr>
                <a:bodyPr rot="0" spcFirstLastPara="1" vertOverflow="clip" horzOverflow="clip" vert="horz" wrap="square" lIns="38100" tIns="19050" rIns="38100" bIns="19050" anchor="ctr" anchorCtr="1">
                  <a:noAutofit/>
                </a:bodyPr>
                <a:lstStyle/>
                <a:p>
                  <a:pPr>
                    <a:defRPr sz="12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9.5010238736132416E-2"/>
                      <c:h val="0.11491834354039078"/>
                    </c:manualLayout>
                  </c15:layout>
                </c:ext>
                <c:ext xmlns:c16="http://schemas.microsoft.com/office/drawing/2014/chart" uri="{C3380CC4-5D6E-409C-BE32-E72D297353CC}">
                  <c16:uniqueId val="{00000002-8EF3-43CD-99B7-E90EA9D7A948}"/>
                </c:ext>
              </c:extLst>
            </c:dLbl>
            <c:spPr>
              <a:no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'Top 20% Customers'!$F$4:$F$5</c:f>
              <c:strCache>
                <c:ptCount val="2"/>
                <c:pt idx="0">
                  <c:v>Top Revenue Customers</c:v>
                </c:pt>
                <c:pt idx="1">
                  <c:v>Remaining Customers</c:v>
                </c:pt>
              </c:strCache>
            </c:strRef>
          </c:cat>
          <c:val>
            <c:numRef>
              <c:f>'Top 20% Customers'!$G$4:$G$5</c:f>
              <c:numCache>
                <c:formatCode>General</c:formatCode>
                <c:ptCount val="2"/>
                <c:pt idx="0">
                  <c:v>147115</c:v>
                </c:pt>
                <c:pt idx="1">
                  <c:v>584675</c:v>
                </c:pt>
              </c:numCache>
            </c:numRef>
          </c:val>
          <c:extLst>
            <c:ext xmlns:c16="http://schemas.microsoft.com/office/drawing/2014/chart" uri="{C3380CC4-5D6E-409C-BE32-E72D297353CC}">
              <c16:uniqueId val="{00000000-8EF3-43CD-99B7-E90EA9D7A948}"/>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3 (Recovered).xlsx]Repeated Customers!PivotTable3</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Most Loyal Customers</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'Repeated Customers'!$B$3</c:f>
              <c:strCache>
                <c:ptCount val="1"/>
                <c:pt idx="0">
                  <c:v>Total</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'Repeated Customers'!$A$4:$A$8</c:f>
              <c:strCache>
                <c:ptCount val="5"/>
                <c:pt idx="0">
                  <c:v>CI_149</c:v>
                </c:pt>
                <c:pt idx="1">
                  <c:v>CI_32</c:v>
                </c:pt>
                <c:pt idx="2">
                  <c:v>CI_130</c:v>
                </c:pt>
                <c:pt idx="3">
                  <c:v>CI_188</c:v>
                </c:pt>
                <c:pt idx="4">
                  <c:v>CI_169</c:v>
                </c:pt>
              </c:strCache>
            </c:strRef>
          </c:cat>
          <c:val>
            <c:numRef>
              <c:f>'Repeated Customers'!$B$4:$B$8</c:f>
              <c:numCache>
                <c:formatCode>General</c:formatCode>
                <c:ptCount val="5"/>
                <c:pt idx="0">
                  <c:v>13</c:v>
                </c:pt>
                <c:pt idx="1">
                  <c:v>7</c:v>
                </c:pt>
                <c:pt idx="2">
                  <c:v>7</c:v>
                </c:pt>
                <c:pt idx="3">
                  <c:v>6</c:v>
                </c:pt>
                <c:pt idx="4">
                  <c:v>6</c:v>
                </c:pt>
              </c:numCache>
            </c:numRef>
          </c:val>
          <c:extLst>
            <c:ext xmlns:c16="http://schemas.microsoft.com/office/drawing/2014/chart" uri="{C3380CC4-5D6E-409C-BE32-E72D297353CC}">
              <c16:uniqueId val="{00000005-74A8-40B0-8500-A3F41B30CF12}"/>
            </c:ext>
          </c:extLst>
        </c:ser>
        <c:dLbls>
          <c:dLblPos val="outEnd"/>
          <c:showLegendKey val="0"/>
          <c:showVal val="1"/>
          <c:showCatName val="0"/>
          <c:showSerName val="0"/>
          <c:showPercent val="0"/>
          <c:showBubbleSize val="0"/>
        </c:dLbls>
        <c:gapWidth val="326"/>
        <c:overlap val="-58"/>
        <c:axId val="2105044655"/>
        <c:axId val="2105029295"/>
      </c:barChart>
      <c:catAx>
        <c:axId val="2105044655"/>
        <c:scaling>
          <c:orientation val="minMax"/>
        </c:scaling>
        <c:delete val="0"/>
        <c:axPos val="l"/>
        <c:numFmt formatCode="General" sourceLinked="1"/>
        <c:majorTickMark val="none"/>
        <c:minorTickMark val="none"/>
        <c:tickLblPos val="nextTo"/>
        <c:spPr>
          <a:noFill/>
          <a:ln w="19050"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029295"/>
        <c:crosses val="autoZero"/>
        <c:auto val="1"/>
        <c:lblAlgn val="ctr"/>
        <c:lblOffset val="100"/>
        <c:noMultiLvlLbl val="0"/>
      </c:catAx>
      <c:valAx>
        <c:axId val="2105029295"/>
        <c:scaling>
          <c:orientation val="minMax"/>
        </c:scaling>
        <c:delete val="1"/>
        <c:axPos val="b"/>
        <c:numFmt formatCode="General" sourceLinked="1"/>
        <c:majorTickMark val="none"/>
        <c:minorTickMark val="none"/>
        <c:tickLblPos val="nextTo"/>
        <c:crossAx val="2105044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19050" cap="flat" cmpd="sng" algn="ctr">
        <a:solidFill>
          <a:schemeClr val="tx1">
            <a:lumMod val="15000"/>
            <a:lumOff val="8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tileRect/>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99000">
              <a:schemeClr val="tx1">
                <a:lumMod val="25000"/>
                <a:lumOff val="75000"/>
              </a:schemeClr>
            </a:gs>
            <a:gs pos="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15000"/>
                <a:lumOff val="85000"/>
              </a:schemeClr>
            </a:gs>
            <a:gs pos="0">
              <a:schemeClr val="tx1">
                <a:lumMod val="5000"/>
                <a:lumOff val="9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0</xdr:col>
      <xdr:colOff>2115</xdr:colOff>
      <xdr:row>0</xdr:row>
      <xdr:rowOff>0</xdr:rowOff>
    </xdr:from>
    <xdr:to>
      <xdr:col>4</xdr:col>
      <xdr:colOff>117136</xdr:colOff>
      <xdr:row>5</xdr:row>
      <xdr:rowOff>176389</xdr:rowOff>
    </xdr:to>
    <xdr:pic>
      <xdr:nvPicPr>
        <xdr:cNvPr id="3" name="Picture 2">
          <a:extLst>
            <a:ext uri="{FF2B5EF4-FFF2-40B4-BE49-F238E27FC236}">
              <a16:creationId xmlns:a16="http://schemas.microsoft.com/office/drawing/2014/main" id="{8AC300AF-0C48-5BC3-57A3-81744230B2E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15" y="0"/>
          <a:ext cx="2168188" cy="1075972"/>
        </a:xfrm>
        <a:prstGeom prst="rect">
          <a:avLst/>
        </a:prstGeom>
      </xdr:spPr>
    </xdr:pic>
    <xdr:clientData/>
  </xdr:twoCellAnchor>
  <xdr:twoCellAnchor>
    <xdr:from>
      <xdr:col>4</xdr:col>
      <xdr:colOff>158750</xdr:colOff>
      <xdr:row>5</xdr:row>
      <xdr:rowOff>95250</xdr:rowOff>
    </xdr:from>
    <xdr:to>
      <xdr:col>9</xdr:col>
      <xdr:colOff>590550</xdr:colOff>
      <xdr:row>19</xdr:row>
      <xdr:rowOff>127000</xdr:rowOff>
    </xdr:to>
    <xdr:graphicFrame macro="">
      <xdr:nvGraphicFramePr>
        <xdr:cNvPr id="2" name="Chart 1">
          <a:extLst>
            <a:ext uri="{FF2B5EF4-FFF2-40B4-BE49-F238E27FC236}">
              <a16:creationId xmlns:a16="http://schemas.microsoft.com/office/drawing/2014/main" id="{E3059432-4A0B-42F9-A3E2-B0B63F7B74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9878</xdr:colOff>
      <xdr:row>20</xdr:row>
      <xdr:rowOff>31046</xdr:rowOff>
    </xdr:from>
    <xdr:to>
      <xdr:col>9</xdr:col>
      <xdr:colOff>733778</xdr:colOff>
      <xdr:row>34</xdr:row>
      <xdr:rowOff>56445</xdr:rowOff>
    </xdr:to>
    <xdr:graphicFrame macro="">
      <xdr:nvGraphicFramePr>
        <xdr:cNvPr id="4" name="Chart 3">
          <a:extLst>
            <a:ext uri="{FF2B5EF4-FFF2-40B4-BE49-F238E27FC236}">
              <a16:creationId xmlns:a16="http://schemas.microsoft.com/office/drawing/2014/main" id="{6F948B44-C2F6-4E0E-9959-D0D35884D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677335</xdr:colOff>
      <xdr:row>5</xdr:row>
      <xdr:rowOff>91723</xdr:rowOff>
    </xdr:from>
    <xdr:to>
      <xdr:col>14</xdr:col>
      <xdr:colOff>21167</xdr:colOff>
      <xdr:row>19</xdr:row>
      <xdr:rowOff>155223</xdr:rowOff>
    </xdr:to>
    <xdr:graphicFrame macro="">
      <xdr:nvGraphicFramePr>
        <xdr:cNvPr id="10" name="Chart 9">
          <a:extLst>
            <a:ext uri="{FF2B5EF4-FFF2-40B4-BE49-F238E27FC236}">
              <a16:creationId xmlns:a16="http://schemas.microsoft.com/office/drawing/2014/main" id="{B2B58069-9CFE-45F4-8ACD-3DFA96933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47272</xdr:colOff>
      <xdr:row>34</xdr:row>
      <xdr:rowOff>105127</xdr:rowOff>
    </xdr:from>
    <xdr:to>
      <xdr:col>9</xdr:col>
      <xdr:colOff>211668</xdr:colOff>
      <xdr:row>46</xdr:row>
      <xdr:rowOff>168627</xdr:rowOff>
    </xdr:to>
    <xdr:graphicFrame macro="">
      <xdr:nvGraphicFramePr>
        <xdr:cNvPr id="12" name="Chart 11">
          <a:extLst>
            <a:ext uri="{FF2B5EF4-FFF2-40B4-BE49-F238E27FC236}">
              <a16:creationId xmlns:a16="http://schemas.microsoft.com/office/drawing/2014/main" id="{B1332D28-17AF-4C47-828C-C64E4A7D17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825501</xdr:colOff>
      <xdr:row>20</xdr:row>
      <xdr:rowOff>54327</xdr:rowOff>
    </xdr:from>
    <xdr:to>
      <xdr:col>14</xdr:col>
      <xdr:colOff>14111</xdr:colOff>
      <xdr:row>34</xdr:row>
      <xdr:rowOff>141109</xdr:rowOff>
    </xdr:to>
    <xdr:graphicFrame macro="">
      <xdr:nvGraphicFramePr>
        <xdr:cNvPr id="14" name="Chart 13">
          <a:extLst>
            <a:ext uri="{FF2B5EF4-FFF2-40B4-BE49-F238E27FC236}">
              <a16:creationId xmlns:a16="http://schemas.microsoft.com/office/drawing/2014/main" id="{D3813EBB-E8ED-45C1-BA69-16B79FACEF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11</xdr:col>
      <xdr:colOff>1087967</xdr:colOff>
      <xdr:row>35</xdr:row>
      <xdr:rowOff>160160</xdr:rowOff>
    </xdr:from>
    <xdr:to>
      <xdr:col>13</xdr:col>
      <xdr:colOff>1102077</xdr:colOff>
      <xdr:row>44</xdr:row>
      <xdr:rowOff>52915</xdr:rowOff>
    </xdr:to>
    <mc:AlternateContent xmlns:mc="http://schemas.openxmlformats.org/markup-compatibility/2006" xmlns:a14="http://schemas.microsoft.com/office/drawing/2010/main">
      <mc:Choice Requires="a14">
        <xdr:graphicFrame macro="">
          <xdr:nvGraphicFramePr>
            <xdr:cNvPr id="15" name="country">
              <a:extLst>
                <a:ext uri="{FF2B5EF4-FFF2-40B4-BE49-F238E27FC236}">
                  <a16:creationId xmlns:a16="http://schemas.microsoft.com/office/drawing/2014/main" id="{14748515-FA2B-6719-41BD-683B9EFF147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0454217" y="6457243"/>
              <a:ext cx="2585860" cy="1512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906640</xdr:colOff>
      <xdr:row>35</xdr:row>
      <xdr:rowOff>175685</xdr:rowOff>
    </xdr:from>
    <xdr:to>
      <xdr:col>11</xdr:col>
      <xdr:colOff>897468</xdr:colOff>
      <xdr:row>44</xdr:row>
      <xdr:rowOff>43040</xdr:rowOff>
    </xdr:to>
    <mc:AlternateContent xmlns:mc="http://schemas.openxmlformats.org/markup-compatibility/2006" xmlns:a14="http://schemas.microsoft.com/office/drawing/2010/main">
      <mc:Choice Requires="a14">
        <xdr:graphicFrame macro="">
          <xdr:nvGraphicFramePr>
            <xdr:cNvPr id="16" name="Quarters (order_date)">
              <a:extLst>
                <a:ext uri="{FF2B5EF4-FFF2-40B4-BE49-F238E27FC236}">
                  <a16:creationId xmlns:a16="http://schemas.microsoft.com/office/drawing/2014/main" id="{24A50578-A5C8-4B64-E506-CF71C434A92E}"/>
                </a:ext>
              </a:extLst>
            </xdr:cNvPr>
            <xdr:cNvGraphicFramePr/>
          </xdr:nvGraphicFramePr>
          <xdr:xfrm>
            <a:off x="0" y="0"/>
            <a:ext cx="0" cy="0"/>
          </xdr:xfrm>
          <a:graphic>
            <a:graphicData uri="http://schemas.microsoft.com/office/drawing/2010/slicer">
              <sle:slicer xmlns:sle="http://schemas.microsoft.com/office/drawing/2010/slicer" name="Quarters (order_date)"/>
            </a:graphicData>
          </a:graphic>
        </xdr:graphicFrame>
      </mc:Choice>
      <mc:Fallback xmlns="">
        <xdr:sp macro="" textlink="">
          <xdr:nvSpPr>
            <xdr:cNvPr id="0" name=""/>
            <xdr:cNvSpPr>
              <a:spLocks noTextEdit="1"/>
            </xdr:cNvSpPr>
          </xdr:nvSpPr>
          <xdr:spPr>
            <a:xfrm>
              <a:off x="7986890" y="6472768"/>
              <a:ext cx="2276828" cy="14866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38100</xdr:colOff>
      <xdr:row>1</xdr:row>
      <xdr:rowOff>107950</xdr:rowOff>
    </xdr:from>
    <xdr:to>
      <xdr:col>10</xdr:col>
      <xdr:colOff>342900</xdr:colOff>
      <xdr:row>16</xdr:row>
      <xdr:rowOff>88900</xdr:rowOff>
    </xdr:to>
    <xdr:graphicFrame macro="">
      <xdr:nvGraphicFramePr>
        <xdr:cNvPr id="2" name="Chart 1">
          <a:extLst>
            <a:ext uri="{FF2B5EF4-FFF2-40B4-BE49-F238E27FC236}">
              <a16:creationId xmlns:a16="http://schemas.microsoft.com/office/drawing/2014/main" id="{B1BE8A56-F2FD-73E7-22A1-E6BD0ED61D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584200</xdr:colOff>
      <xdr:row>1</xdr:row>
      <xdr:rowOff>57150</xdr:rowOff>
    </xdr:from>
    <xdr:to>
      <xdr:col>11</xdr:col>
      <xdr:colOff>139700</xdr:colOff>
      <xdr:row>16</xdr:row>
      <xdr:rowOff>38100</xdr:rowOff>
    </xdr:to>
    <xdr:graphicFrame macro="">
      <xdr:nvGraphicFramePr>
        <xdr:cNvPr id="2" name="Chart 1">
          <a:extLst>
            <a:ext uri="{FF2B5EF4-FFF2-40B4-BE49-F238E27FC236}">
              <a16:creationId xmlns:a16="http://schemas.microsoft.com/office/drawing/2014/main" id="{313F6683-35C5-5C2F-5989-49FB40310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571500</xdr:colOff>
      <xdr:row>0</xdr:row>
      <xdr:rowOff>158750</xdr:rowOff>
    </xdr:from>
    <xdr:to>
      <xdr:col>11</xdr:col>
      <xdr:colOff>266700</xdr:colOff>
      <xdr:row>18</xdr:row>
      <xdr:rowOff>12700</xdr:rowOff>
    </xdr:to>
    <xdr:graphicFrame macro="">
      <xdr:nvGraphicFramePr>
        <xdr:cNvPr id="2" name="Chart 1">
          <a:extLst>
            <a:ext uri="{FF2B5EF4-FFF2-40B4-BE49-F238E27FC236}">
              <a16:creationId xmlns:a16="http://schemas.microsoft.com/office/drawing/2014/main" id="{1815F74A-9CF5-6CC9-C104-1368AE94D4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339725</xdr:colOff>
      <xdr:row>5</xdr:row>
      <xdr:rowOff>120650</xdr:rowOff>
    </xdr:from>
    <xdr:to>
      <xdr:col>7</xdr:col>
      <xdr:colOff>488950</xdr:colOff>
      <xdr:row>20</xdr:row>
      <xdr:rowOff>6350</xdr:rowOff>
    </xdr:to>
    <xdr:graphicFrame macro="">
      <xdr:nvGraphicFramePr>
        <xdr:cNvPr id="3" name="Chart 2">
          <a:extLst>
            <a:ext uri="{FF2B5EF4-FFF2-40B4-BE49-F238E27FC236}">
              <a16:creationId xmlns:a16="http://schemas.microsoft.com/office/drawing/2014/main" id="{A569F1FA-64EF-8B87-D881-F528F403A6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381000</xdr:colOff>
      <xdr:row>0</xdr:row>
      <xdr:rowOff>130175</xdr:rowOff>
    </xdr:from>
    <xdr:to>
      <xdr:col>11</xdr:col>
      <xdr:colOff>76200</xdr:colOff>
      <xdr:row>15</xdr:row>
      <xdr:rowOff>111125</xdr:rowOff>
    </xdr:to>
    <xdr:graphicFrame macro="">
      <xdr:nvGraphicFramePr>
        <xdr:cNvPr id="2" name="Chart 1">
          <a:extLst>
            <a:ext uri="{FF2B5EF4-FFF2-40B4-BE49-F238E27FC236}">
              <a16:creationId xmlns:a16="http://schemas.microsoft.com/office/drawing/2014/main" id="{5D1EDBB4-AE53-0CC4-1618-D69C71ED93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t" refreshedDate="46050.456195254628" createdVersion="8" refreshedVersion="8" minRefreshableVersion="3" recordCount="500" xr:uid="{AD74ACE1-488D-4ED5-97B8-368107A2EFD2}">
  <cacheSource type="worksheet">
    <worksheetSource ref="A1:L501" sheet="RAW DATA"/>
  </cacheSource>
  <cacheFields count="12">
    <cacheField name="order_id" numFmtId="0">
      <sharedItems containsSemiMixedTypes="0" containsString="0" containsNumber="1" containsInteger="1" minValue="1" maxValue="500"/>
    </cacheField>
    <cacheField name="customer_id" numFmtId="0">
      <sharedItems containsSemiMixedTypes="0" containsString="0" containsNumber="1" containsInteger="1" minValue="2" maxValue="200" count="183">
        <n v="150"/>
        <n v="176"/>
        <n v="37"/>
        <n v="143"/>
        <n v="163"/>
        <n v="199"/>
        <n v="160"/>
        <n v="11"/>
        <n v="138"/>
        <n v="78"/>
        <n v="77"/>
        <n v="185"/>
        <n v="153"/>
        <n v="2"/>
        <n v="64"/>
        <n v="35"/>
        <n v="7"/>
        <n v="85"/>
        <n v="146"/>
        <n v="67"/>
        <n v="42"/>
        <n v="118"/>
        <n v="125"/>
        <n v="167"/>
        <n v="169"/>
        <n v="24"/>
        <n v="188"/>
        <n v="46"/>
        <n v="19"/>
        <n v="68"/>
        <n v="102"/>
        <n v="32"/>
        <n v="109"/>
        <n v="36"/>
        <n v="97"/>
        <n v="164"/>
        <n v="131"/>
        <n v="73"/>
        <n v="136"/>
        <n v="123"/>
        <n v="70"/>
        <n v="196"/>
        <n v="13"/>
        <n v="49"/>
        <n v="60"/>
        <n v="130"/>
        <n v="5"/>
        <n v="172"/>
        <n v="27"/>
        <n v="149"/>
        <n v="8"/>
        <n v="200"/>
        <n v="50"/>
        <n v="44"/>
        <n v="58"/>
        <n v="3"/>
        <n v="86"/>
        <n v="98"/>
        <n v="30"/>
        <n v="116"/>
        <n v="186"/>
        <n v="197"/>
        <n v="31"/>
        <n v="47"/>
        <n v="55"/>
        <n v="106"/>
        <n v="190"/>
        <n v="158"/>
        <n v="121"/>
        <n v="144"/>
        <n v="12"/>
        <n v="145"/>
        <n v="140"/>
        <n v="23"/>
        <n v="92"/>
        <n v="115"/>
        <n v="104"/>
        <n v="108"/>
        <n v="65"/>
        <n v="84"/>
        <n v="198"/>
        <n v="161"/>
        <n v="16"/>
        <n v="38"/>
        <n v="142"/>
        <n v="151"/>
        <n v="114"/>
        <n v="66"/>
        <n v="105"/>
        <n v="193"/>
        <n v="75"/>
        <n v="180"/>
        <n v="154"/>
        <n v="6"/>
        <n v="171"/>
        <n v="101"/>
        <n v="166"/>
        <n v="82"/>
        <n v="173"/>
        <n v="134"/>
        <n v="80"/>
        <n v="14"/>
        <n v="91"/>
        <n v="20"/>
        <n v="10"/>
        <n v="25"/>
        <n v="194"/>
        <n v="54"/>
        <n v="33"/>
        <n v="95"/>
        <n v="110"/>
        <n v="141"/>
        <n v="117"/>
        <n v="79"/>
        <n v="128"/>
        <n v="96"/>
        <n v="191"/>
        <n v="93"/>
        <n v="43"/>
        <n v="162"/>
        <n v="89"/>
        <n v="126"/>
        <n v="178"/>
        <n v="159"/>
        <n v="56"/>
        <n v="83"/>
        <n v="137"/>
        <n v="99"/>
        <n v="156"/>
        <n v="4"/>
        <n v="103"/>
        <n v="40"/>
        <n v="17"/>
        <n v="124"/>
        <n v="52"/>
        <n v="63"/>
        <n v="62"/>
        <n v="155"/>
        <n v="133"/>
        <n v="183"/>
        <n v="120"/>
        <n v="181"/>
        <n v="139"/>
        <n v="26"/>
        <n v="34"/>
        <n v="112"/>
        <n v="157"/>
        <n v="21"/>
        <n v="113"/>
        <n v="192"/>
        <n v="129"/>
        <n v="48"/>
        <n v="29"/>
        <n v="28"/>
        <n v="187"/>
        <n v="177"/>
        <n v="87"/>
        <n v="88"/>
        <n v="69"/>
        <n v="179"/>
        <n v="152"/>
        <n v="148"/>
        <n v="135"/>
        <n v="51"/>
        <n v="94"/>
        <n v="111"/>
        <n v="81"/>
        <n v="195"/>
        <n v="122"/>
        <n v="119"/>
        <n v="15"/>
        <n v="168"/>
        <n v="59"/>
        <n v="22"/>
        <n v="174"/>
        <n v="39"/>
        <n v="175"/>
        <n v="18"/>
        <n v="165"/>
        <n v="189"/>
        <n v="184"/>
        <n v="72"/>
        <n v="132"/>
      </sharedItems>
    </cacheField>
    <cacheField name="product_id" numFmtId="0">
      <sharedItems containsSemiMixedTypes="0" containsString="0" containsNumber="1" containsInteger="1" minValue="1" maxValue="50"/>
    </cacheField>
    <cacheField name="product_name" numFmtId="0">
      <sharedItems count="10">
        <s v="Tablet"/>
        <s v="Smartphone"/>
        <s v="Jacket"/>
        <s v="Shoes"/>
        <s v="Camera"/>
        <s v="Laptop"/>
        <s v="T-shirt"/>
        <s v="Watch"/>
        <s v="Headphones"/>
        <s v="Sunglasses"/>
      </sharedItems>
    </cacheField>
    <cacheField name="category" numFmtId="0">
      <sharedItems/>
    </cacheField>
    <cacheField name="unit_price" numFmtId="0">
      <sharedItems containsSemiMixedTypes="0" containsString="0" containsNumber="1" containsInteger="1" minValue="51" maxValue="992"/>
    </cacheField>
    <cacheField name="quantity" numFmtId="0">
      <sharedItems containsSemiMixedTypes="0" containsString="0" containsNumber="1" containsInteger="1" minValue="1" maxValue="4"/>
    </cacheField>
    <cacheField name="order_date" numFmtId="14">
      <sharedItems containsSemiMixedTypes="0" containsNonDate="0" containsDate="1" containsString="0" minDate="2022-01-01T00:00:00" maxDate="2023-01-01T00:00:00"/>
    </cacheField>
    <cacheField name="customer_age" numFmtId="0">
      <sharedItems containsSemiMixedTypes="0" containsString="0" containsNumber="1" containsInteger="1" minValue="18" maxValue="64"/>
    </cacheField>
    <cacheField name="customer_gender" numFmtId="0">
      <sharedItems/>
    </cacheField>
    <cacheField name="country" numFmtId="0">
      <sharedItems/>
    </cacheField>
    <cacheField name="Revenue" numFmtId="0">
      <sharedItems containsSemiMixedTypes="0" containsString="0" containsNumber="1" containsInteger="1" minValue="51" maxValue="3968"/>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shit" refreshedDate="46051.460766203701" createdVersion="8" refreshedVersion="8" minRefreshableVersion="3" recordCount="500" xr:uid="{69434CA9-0575-42CD-BDC4-C16485C210A8}">
  <cacheSource type="worksheet">
    <worksheetSource ref="A1:S501" sheet="Clean Data"/>
  </cacheSource>
  <cacheFields count="20">
    <cacheField name="order_id" numFmtId="0">
      <sharedItems containsSemiMixedTypes="0" containsString="0" containsNumber="1" containsInteger="1" minValue="1" maxValue="500"/>
    </cacheField>
    <cacheField name="customer_id" numFmtId="0">
      <sharedItems containsSemiMixedTypes="0" containsString="0" containsNumber="1" containsInteger="1" minValue="2" maxValue="200"/>
    </cacheField>
    <cacheField name="product_id" numFmtId="0">
      <sharedItems containsSemiMixedTypes="0" containsString="0" containsNumber="1" containsInteger="1" minValue="1" maxValue="50"/>
    </cacheField>
    <cacheField name="product_name" numFmtId="0">
      <sharedItems/>
    </cacheField>
    <cacheField name="category" numFmtId="0">
      <sharedItems/>
    </cacheField>
    <cacheField name="unit_price" numFmtId="0">
      <sharedItems containsSemiMixedTypes="0" containsString="0" containsNumber="1" containsInteger="1" minValue="51" maxValue="992"/>
    </cacheField>
    <cacheField name="quantity" numFmtId="0">
      <sharedItems containsSemiMixedTypes="0" containsString="0" containsNumber="1" containsInteger="1" minValue="1" maxValue="4"/>
    </cacheField>
    <cacheField name="order_date" numFmtId="14">
      <sharedItems containsSemiMixedTypes="0" containsNonDate="0" containsDate="1" containsString="0" minDate="2022-01-01T00:00:00" maxDate="2023-01-01T00:00:00" count="261">
        <d v="2022-11-14T00:00:00"/>
        <d v="2022-10-06T00:00:00"/>
        <d v="2022-05-07T00:00:00"/>
        <d v="2022-05-09T00:00:00"/>
        <d v="2022-02-27T00:00:00"/>
        <d v="2022-05-02T00:00:00"/>
        <d v="2022-01-01T00:00:00"/>
        <d v="2022-08-27T00:00:00"/>
        <d v="2022-10-17T00:00:00"/>
        <d v="2022-04-06T00:00:00"/>
        <d v="2022-05-06T00:00:00"/>
        <d v="2022-04-28T00:00:00"/>
        <d v="2022-02-17T00:00:00"/>
        <d v="2022-03-30T00:00:00"/>
        <d v="2022-08-25T00:00:00"/>
        <d v="2022-09-29T00:00:00"/>
        <d v="2022-07-08T00:00:00"/>
        <d v="2022-07-11T00:00:00"/>
        <d v="2022-03-10T00:00:00"/>
        <d v="2022-10-05T00:00:00"/>
        <d v="2022-12-15T00:00:00"/>
        <d v="2022-09-04T00:00:00"/>
        <d v="2022-03-17T00:00:00"/>
        <d v="2022-06-03T00:00:00"/>
        <d v="2022-05-24T00:00:00"/>
        <d v="2022-03-27T00:00:00"/>
        <d v="2022-07-04T00:00:00"/>
        <d v="2022-10-12T00:00:00"/>
        <d v="2022-08-08T00:00:00"/>
        <d v="2022-02-16T00:00:00"/>
        <d v="2022-04-04T00:00:00"/>
        <d v="2022-08-26T00:00:00"/>
        <d v="2022-07-23T00:00:00"/>
        <d v="2022-08-06T00:00:00"/>
        <d v="2022-12-07T00:00:00"/>
        <d v="2022-02-08T00:00:00"/>
        <d v="2022-04-10T00:00:00"/>
        <d v="2022-10-16T00:00:00"/>
        <d v="2022-09-11T00:00:00"/>
        <d v="2022-08-10T00:00:00"/>
        <d v="2022-12-23T00:00:00"/>
        <d v="2022-01-23T00:00:00"/>
        <d v="2022-09-07T00:00:00"/>
        <d v="2022-01-10T00:00:00"/>
        <d v="2022-09-03T00:00:00"/>
        <d v="2022-11-21T00:00:00"/>
        <d v="2022-06-29T00:00:00"/>
        <d v="2022-08-11T00:00:00"/>
        <d v="2022-05-27T00:00:00"/>
        <d v="2022-09-14T00:00:00"/>
        <d v="2022-01-04T00:00:00"/>
        <d v="2022-01-16T00:00:00"/>
        <d v="2022-10-07T00:00:00"/>
        <d v="2022-12-02T00:00:00"/>
        <d v="2022-09-15T00:00:00"/>
        <d v="2022-06-09T00:00:00"/>
        <d v="2022-12-06T00:00:00"/>
        <d v="2022-06-01T00:00:00"/>
        <d v="2022-06-27T00:00:00"/>
        <d v="2022-06-12T00:00:00"/>
        <d v="2022-02-02T00:00:00"/>
        <d v="2022-06-28T00:00:00"/>
        <d v="2022-04-11T00:00:00"/>
        <d v="2022-09-25T00:00:00"/>
        <d v="2022-11-19T00:00:00"/>
        <d v="2022-03-06T00:00:00"/>
        <d v="2022-06-17T00:00:00"/>
        <d v="2022-11-26T00:00:00"/>
        <d v="2022-02-12T00:00:00"/>
        <d v="2022-02-13T00:00:00"/>
        <d v="2022-01-12T00:00:00"/>
        <d v="2022-04-05T00:00:00"/>
        <d v="2022-10-29T00:00:00"/>
        <d v="2022-09-10T00:00:00"/>
        <d v="2022-08-30T00:00:00"/>
        <d v="2022-02-04T00:00:00"/>
        <d v="2022-08-03T00:00:00"/>
        <d v="2022-12-03T00:00:00"/>
        <d v="2022-03-31T00:00:00"/>
        <d v="2022-09-21T00:00:00"/>
        <d v="2022-04-03T00:00:00"/>
        <d v="2022-04-25T00:00:00"/>
        <d v="2022-04-15T00:00:00"/>
        <d v="2022-07-15T00:00:00"/>
        <d v="2022-11-10T00:00:00"/>
        <d v="2022-04-24T00:00:00"/>
        <d v="2022-03-16T00:00:00"/>
        <d v="2022-08-05T00:00:00"/>
        <d v="2022-10-04T00:00:00"/>
        <d v="2022-09-06T00:00:00"/>
        <d v="2022-06-13T00:00:00"/>
        <d v="2022-08-15T00:00:00"/>
        <d v="2022-06-26T00:00:00"/>
        <d v="2022-04-09T00:00:00"/>
        <d v="2022-02-05T00:00:00"/>
        <d v="2022-05-31T00:00:00"/>
        <d v="2022-07-09T00:00:00"/>
        <d v="2022-08-12T00:00:00"/>
        <d v="2022-02-06T00:00:00"/>
        <d v="2022-07-02T00:00:00"/>
        <d v="2022-01-13T00:00:00"/>
        <d v="2022-12-21T00:00:00"/>
        <d v="2022-12-27T00:00:00"/>
        <d v="2022-10-13T00:00:00"/>
        <d v="2022-09-30T00:00:00"/>
        <d v="2022-03-03T00:00:00"/>
        <d v="2022-03-25T00:00:00"/>
        <d v="2022-12-08T00:00:00"/>
        <d v="2022-07-06T00:00:00"/>
        <d v="2022-01-19T00:00:00"/>
        <d v="2022-08-21T00:00:00"/>
        <d v="2022-09-22T00:00:00"/>
        <d v="2022-10-11T00:00:00"/>
        <d v="2022-07-25T00:00:00"/>
        <d v="2022-02-21T00:00:00"/>
        <d v="2022-12-05T00:00:00"/>
        <d v="2022-01-25T00:00:00"/>
        <d v="2022-02-22T00:00:00"/>
        <d v="2022-02-26T00:00:00"/>
        <d v="2022-04-19T00:00:00"/>
        <d v="2022-06-30T00:00:00"/>
        <d v="2022-02-11T00:00:00"/>
        <d v="2022-07-05T00:00:00"/>
        <d v="2022-05-13T00:00:00"/>
        <d v="2022-08-09T00:00:00"/>
        <d v="2022-08-23T00:00:00"/>
        <d v="2022-11-27T00:00:00"/>
        <d v="2022-05-26T00:00:00"/>
        <d v="2022-01-09T00:00:00"/>
        <d v="2022-03-15T00:00:00"/>
        <d v="2022-08-18T00:00:00"/>
        <d v="2022-01-07T00:00:00"/>
        <d v="2022-06-23T00:00:00"/>
        <d v="2022-05-21T00:00:00"/>
        <d v="2022-06-19T00:00:00"/>
        <d v="2022-10-10T00:00:00"/>
        <d v="2022-07-13T00:00:00"/>
        <d v="2022-01-05T00:00:00"/>
        <d v="2022-01-29T00:00:00"/>
        <d v="2022-06-14T00:00:00"/>
        <d v="2022-05-16T00:00:00"/>
        <d v="2022-12-31T00:00:00"/>
        <d v="2022-11-17T00:00:00"/>
        <d v="2022-05-25T00:00:00"/>
        <d v="2022-11-23T00:00:00"/>
        <d v="2022-10-28T00:00:00"/>
        <d v="2022-05-12T00:00:00"/>
        <d v="2022-10-19T00:00:00"/>
        <d v="2022-03-11T00:00:00"/>
        <d v="2022-09-09T00:00:00"/>
        <d v="2022-10-02T00:00:00"/>
        <d v="2022-12-30T00:00:00"/>
        <d v="2022-07-01T00:00:00"/>
        <d v="2022-06-16T00:00:00"/>
        <d v="2022-04-01T00:00:00"/>
        <d v="2022-07-21T00:00:00"/>
        <d v="2022-12-12T00:00:00"/>
        <d v="2022-06-22T00:00:00"/>
        <d v="2022-05-28T00:00:00"/>
        <d v="2022-11-13T00:00:00"/>
        <d v="2022-12-14T00:00:00"/>
        <d v="2022-07-10T00:00:00"/>
        <d v="2022-11-08T00:00:00"/>
        <d v="2022-04-27T00:00:00"/>
        <d v="2022-05-14T00:00:00"/>
        <d v="2022-10-30T00:00:00"/>
        <d v="2022-05-29T00:00:00"/>
        <d v="2022-03-21T00:00:00"/>
        <d v="2022-08-01T00:00:00"/>
        <d v="2022-07-22T00:00:00"/>
        <d v="2022-08-17T00:00:00"/>
        <d v="2022-01-20T00:00:00"/>
        <d v="2022-11-01T00:00:00"/>
        <d v="2022-01-14T00:00:00"/>
        <d v="2022-05-23T00:00:00"/>
        <d v="2022-02-23T00:00:00"/>
        <d v="2022-09-16T00:00:00"/>
        <d v="2022-12-24T00:00:00"/>
        <d v="2022-06-05T00:00:00"/>
        <d v="2022-01-08T00:00:00"/>
        <d v="2022-11-12T00:00:00"/>
        <d v="2022-01-28T00:00:00"/>
        <d v="2022-02-10T00:00:00"/>
        <d v="2022-08-16T00:00:00"/>
        <d v="2022-07-20T00:00:00"/>
        <d v="2022-07-31T00:00:00"/>
        <d v="2022-08-28T00:00:00"/>
        <d v="2022-02-15T00:00:00"/>
        <d v="2022-03-23T00:00:00"/>
        <d v="2022-09-13T00:00:00"/>
        <d v="2022-07-16T00:00:00"/>
        <d v="2022-09-08T00:00:00"/>
        <d v="2022-04-29T00:00:00"/>
        <d v="2022-09-24T00:00:00"/>
        <d v="2022-10-09T00:00:00"/>
        <d v="2022-03-04T00:00:00"/>
        <d v="2022-11-11T00:00:00"/>
        <d v="2022-04-08T00:00:00"/>
        <d v="2022-11-07T00:00:00"/>
        <d v="2022-01-06T00:00:00"/>
        <d v="2022-12-17T00:00:00"/>
        <d v="2022-03-24T00:00:00"/>
        <d v="2022-03-26T00:00:00"/>
        <d v="2022-03-19T00:00:00"/>
        <d v="2022-02-20T00:00:00"/>
        <d v="2022-07-24T00:00:00"/>
        <d v="2022-09-17T00:00:00"/>
        <d v="2022-10-15T00:00:00"/>
        <d v="2022-02-03T00:00:00"/>
        <d v="2022-03-13T00:00:00"/>
        <d v="2022-06-11T00:00:00"/>
        <d v="2022-11-02T00:00:00"/>
        <d v="2022-08-24T00:00:00"/>
        <d v="2022-11-09T00:00:00"/>
        <d v="2022-04-22T00:00:00"/>
        <d v="2022-09-12T00:00:00"/>
        <d v="2022-07-26T00:00:00"/>
        <d v="2022-03-07T00:00:00"/>
        <d v="2022-04-13T00:00:00"/>
        <d v="2022-08-14T00:00:00"/>
        <d v="2022-10-21T00:00:00"/>
        <d v="2022-12-04T00:00:00"/>
        <d v="2022-12-01T00:00:00"/>
        <d v="2022-12-13T00:00:00"/>
        <d v="2022-11-04T00:00:00"/>
        <d v="2022-06-15T00:00:00"/>
        <d v="2022-01-30T00:00:00"/>
        <d v="2022-04-16T00:00:00"/>
        <d v="2022-03-22T00:00:00"/>
        <d v="2022-05-18T00:00:00"/>
        <d v="2022-07-03T00:00:00"/>
        <d v="2022-09-19T00:00:00"/>
        <d v="2022-04-21T00:00:00"/>
        <d v="2022-12-26T00:00:00"/>
        <d v="2022-10-08T00:00:00"/>
        <d v="2022-07-14T00:00:00"/>
        <d v="2022-12-18T00:00:00"/>
        <d v="2022-06-04T00:00:00"/>
        <d v="2022-03-02T00:00:00"/>
        <d v="2022-04-02T00:00:00"/>
        <d v="2022-01-22T00:00:00"/>
        <d v="2022-11-22T00:00:00"/>
        <d v="2022-03-14T00:00:00"/>
        <d v="2022-05-01T00:00:00"/>
        <d v="2022-08-02T00:00:00"/>
        <d v="2022-02-25T00:00:00"/>
        <d v="2022-12-16T00:00:00"/>
        <d v="2022-04-17T00:00:00"/>
        <d v="2022-11-15T00:00:00"/>
        <d v="2022-01-26T00:00:00"/>
        <d v="2022-04-23T00:00:00"/>
        <d v="2022-08-04T00:00:00"/>
        <d v="2022-01-03T00:00:00"/>
        <d v="2022-12-29T00:00:00"/>
        <d v="2022-10-01T00:00:00"/>
        <d v="2022-01-15T00:00:00"/>
        <d v="2022-08-19T00:00:00"/>
        <d v="2022-10-27T00:00:00"/>
        <d v="2022-03-09T00:00:00"/>
        <d v="2022-03-08T00:00:00"/>
        <d v="2022-11-16T00:00:00"/>
      </sharedItems>
      <fieldGroup par="19"/>
    </cacheField>
    <cacheField name="customer_age" numFmtId="0">
      <sharedItems containsSemiMixedTypes="0" containsString="0" containsNumber="1" containsInteger="1" minValue="18" maxValue="64"/>
    </cacheField>
    <cacheField name="customer_gender" numFmtId="0">
      <sharedItems count="2">
        <s v="Female"/>
        <s v="Male"/>
      </sharedItems>
    </cacheField>
    <cacheField name="country" numFmtId="0">
      <sharedItems count="6">
        <s v="Germany"/>
        <s v="Canada"/>
        <s v="UK"/>
        <s v="Australia"/>
        <s v="USA"/>
        <s v="France"/>
      </sharedItems>
    </cacheField>
    <cacheField name="Revenue" numFmtId="0">
      <sharedItems containsSemiMixedTypes="0" containsString="0" containsNumber="1" containsInteger="1" minValue="51" maxValue="3968"/>
    </cacheField>
    <cacheField name="Age Group" numFmtId="0">
      <sharedItems count="6">
        <s v="Above 60"/>
        <s v="20-29"/>
        <s v="50-59"/>
        <s v="30-39"/>
        <s v="40-49"/>
        <s v="Under 20"/>
      </sharedItems>
    </cacheField>
    <cacheField name="customer_id_2" numFmtId="0">
      <sharedItems containsBlank="1" count="6">
        <s v="CI_188"/>
        <s v="CI_169"/>
        <s v="CI_32"/>
        <s v="CI_130"/>
        <s v="CI_149"/>
        <m/>
      </sharedItems>
    </cacheField>
    <cacheField name="total_orders" numFmtId="0">
      <sharedItems containsString="0" containsBlank="1" containsNumber="1" containsInteger="1" minValue="6" maxValue="13"/>
    </cacheField>
    <cacheField name="product_name_2" numFmtId="0">
      <sharedItems containsBlank="1" count="11">
        <s v="Camera"/>
        <s v="Sunglasses"/>
        <s v="Smartphone"/>
        <s v="Headphones"/>
        <s v="Jacket"/>
        <s v="Shoes"/>
        <s v="Watch"/>
        <s v="Tablet"/>
        <s v="T-shirt"/>
        <s v="Laptop"/>
        <m/>
      </sharedItems>
    </cacheField>
    <cacheField name="total_sales" numFmtId="0">
      <sharedItems containsString="0" containsBlank="1" containsNumber="1" containsInteger="1" minValue="56332" maxValue="99040"/>
    </cacheField>
    <cacheField name="months" numFmtId="0">
      <sharedItems containsBlank="1" count="13">
        <s v="January  "/>
        <s v="February "/>
        <s v="March    "/>
        <s v="April    "/>
        <s v="May      "/>
        <s v="June     "/>
        <s v="July     "/>
        <s v="August   "/>
        <s v="September"/>
        <s v="October  "/>
        <s v="November "/>
        <s v="December "/>
        <m/>
      </sharedItems>
    </cacheField>
    <cacheField name="monthly_revenue" numFmtId="0">
      <sharedItems containsString="0" containsBlank="1" containsNumber="1" containsInteger="1" minValue="45441" maxValue="96241"/>
    </cacheField>
    <cacheField name="Quarters (order_date)" numFmtId="0" databaseField="0">
      <fieldGroup base="7">
        <rangePr groupBy="quarters" startDate="2022-01-01T00:00:00" endDate="2023-01-01T00:00:00"/>
        <groupItems count="6">
          <s v="&lt;01-01-2022"/>
          <s v="Qtr1"/>
          <s v="Qtr2"/>
          <s v="Qtr3"/>
          <s v="Qtr4"/>
          <s v="&gt;01-01-2023"/>
        </groupItems>
      </fieldGroup>
    </cacheField>
  </cacheFields>
  <extLst>
    <ext xmlns:x14="http://schemas.microsoft.com/office/spreadsheetml/2009/9/main" uri="{725AE2AE-9491-48be-B2B4-4EB974FC3084}">
      <x14:pivotCacheDefinition pivotCacheId="17758742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x v="0"/>
    <n v="9"/>
    <x v="0"/>
    <s v="Electronics"/>
    <n v="611"/>
    <n v="1"/>
    <d v="2022-11-14T00:00:00"/>
    <n v="62"/>
    <s v="Female"/>
    <s v="Germany"/>
    <n v="611"/>
  </r>
  <r>
    <n v="2"/>
    <x v="1"/>
    <n v="36"/>
    <x v="1"/>
    <s v="Electronics"/>
    <n v="751"/>
    <n v="4"/>
    <d v="2022-10-06T00:00:00"/>
    <n v="23"/>
    <s v="Male"/>
    <s v="Canada"/>
    <n v="3004"/>
  </r>
  <r>
    <n v="3"/>
    <x v="2"/>
    <n v="22"/>
    <x v="2"/>
    <s v="Accessories"/>
    <n v="821"/>
    <n v="4"/>
    <d v="2022-05-07T00:00:00"/>
    <n v="54"/>
    <s v="Male"/>
    <s v="UK"/>
    <n v="3284"/>
  </r>
  <r>
    <n v="4"/>
    <x v="3"/>
    <n v="42"/>
    <x v="3"/>
    <s v="Electronics"/>
    <n v="395"/>
    <n v="4"/>
    <d v="2022-05-09T00:00:00"/>
    <n v="50"/>
    <s v="Male"/>
    <s v="Germany"/>
    <n v="1580"/>
  </r>
  <r>
    <n v="5"/>
    <x v="4"/>
    <n v="26"/>
    <x v="2"/>
    <s v="Accessories"/>
    <n v="301"/>
    <n v="1"/>
    <d v="2022-02-27T00:00:00"/>
    <n v="39"/>
    <s v="Male"/>
    <s v="Australia"/>
    <n v="301"/>
  </r>
  <r>
    <n v="6"/>
    <x v="5"/>
    <n v="12"/>
    <x v="0"/>
    <s v="Clothing"/>
    <n v="130"/>
    <n v="1"/>
    <d v="2022-05-02T00:00:00"/>
    <n v="38"/>
    <s v="Female"/>
    <s v="USA"/>
    <n v="130"/>
  </r>
  <r>
    <n v="7"/>
    <x v="6"/>
    <n v="17"/>
    <x v="4"/>
    <s v="Clothing"/>
    <n v="251"/>
    <n v="1"/>
    <d v="2022-01-01T00:00:00"/>
    <n v="23"/>
    <s v="Female"/>
    <s v="Australia"/>
    <n v="251"/>
  </r>
  <r>
    <n v="8"/>
    <x v="7"/>
    <n v="14"/>
    <x v="5"/>
    <s v="Electronics"/>
    <n v="776"/>
    <n v="3"/>
    <d v="2022-08-27T00:00:00"/>
    <n v="23"/>
    <s v="Female"/>
    <s v="Australia"/>
    <n v="2328"/>
  </r>
  <r>
    <n v="9"/>
    <x v="8"/>
    <n v="14"/>
    <x v="6"/>
    <s v="Accessories"/>
    <n v="141"/>
    <n v="1"/>
    <d v="2022-10-17T00:00:00"/>
    <n v="21"/>
    <s v="Female"/>
    <s v="USA"/>
    <n v="141"/>
  </r>
  <r>
    <n v="10"/>
    <x v="9"/>
    <n v="34"/>
    <x v="1"/>
    <s v="Clothing"/>
    <n v="826"/>
    <n v="1"/>
    <d v="2022-04-06T00:00:00"/>
    <n v="47"/>
    <s v="Male"/>
    <s v="Australia"/>
    <n v="826"/>
  </r>
  <r>
    <n v="11"/>
    <x v="10"/>
    <n v="20"/>
    <x v="7"/>
    <s v="Accessories"/>
    <n v="928"/>
    <n v="1"/>
    <d v="2022-05-06T00:00:00"/>
    <n v="28"/>
    <s v="Female"/>
    <s v="Germany"/>
    <n v="928"/>
  </r>
  <r>
    <n v="12"/>
    <x v="11"/>
    <n v="11"/>
    <x v="7"/>
    <s v="Clothing"/>
    <n v="155"/>
    <n v="3"/>
    <d v="2022-04-28T00:00:00"/>
    <n v="47"/>
    <s v="Male"/>
    <s v="Germany"/>
    <n v="465"/>
  </r>
  <r>
    <n v="13"/>
    <x v="12"/>
    <n v="16"/>
    <x v="7"/>
    <s v="Electronics"/>
    <n v="776"/>
    <n v="1"/>
    <d v="2022-02-17T00:00:00"/>
    <n v="48"/>
    <s v="Male"/>
    <s v="Germany"/>
    <n v="776"/>
  </r>
  <r>
    <n v="14"/>
    <x v="13"/>
    <n v="31"/>
    <x v="8"/>
    <s v="Accessories"/>
    <n v="611"/>
    <n v="4"/>
    <d v="2022-03-30T00:00:00"/>
    <n v="41"/>
    <s v="Male"/>
    <s v="USA"/>
    <n v="2444"/>
  </r>
  <r>
    <n v="15"/>
    <x v="14"/>
    <n v="6"/>
    <x v="7"/>
    <s v="Accessories"/>
    <n v="912"/>
    <n v="1"/>
    <d v="2022-08-25T00:00:00"/>
    <n v="26"/>
    <s v="Male"/>
    <s v="Australia"/>
    <n v="912"/>
  </r>
  <r>
    <n v="16"/>
    <x v="15"/>
    <n v="19"/>
    <x v="6"/>
    <s v="Electronics"/>
    <n v="751"/>
    <n v="4"/>
    <d v="2022-09-29T00:00:00"/>
    <n v="20"/>
    <s v="Male"/>
    <s v="USA"/>
    <n v="3004"/>
  </r>
  <r>
    <n v="17"/>
    <x v="16"/>
    <n v="37"/>
    <x v="5"/>
    <s v="Clothing"/>
    <n v="779"/>
    <n v="4"/>
    <d v="2022-07-08T00:00:00"/>
    <n v="48"/>
    <s v="Female"/>
    <s v="Germany"/>
    <n v="3116"/>
  </r>
  <r>
    <n v="18"/>
    <x v="17"/>
    <n v="4"/>
    <x v="7"/>
    <s v="Clothing"/>
    <n v="477"/>
    <n v="4"/>
    <d v="2022-07-11T00:00:00"/>
    <n v="57"/>
    <s v="Female"/>
    <s v="Australia"/>
    <n v="1908"/>
  </r>
  <r>
    <n v="19"/>
    <x v="18"/>
    <n v="47"/>
    <x v="2"/>
    <s v="Clothing"/>
    <n v="84"/>
    <n v="3"/>
    <d v="2022-03-10T00:00:00"/>
    <n v="54"/>
    <s v="Female"/>
    <s v="Australia"/>
    <n v="252"/>
  </r>
  <r>
    <n v="20"/>
    <x v="19"/>
    <n v="4"/>
    <x v="2"/>
    <s v="Accessories"/>
    <n v="141"/>
    <n v="3"/>
    <d v="2022-10-05T00:00:00"/>
    <n v="53"/>
    <s v="Female"/>
    <s v="France"/>
    <n v="423"/>
  </r>
  <r>
    <n v="21"/>
    <x v="20"/>
    <n v="20"/>
    <x v="8"/>
    <s v="Accessories"/>
    <n v="141"/>
    <n v="3"/>
    <d v="2022-12-15T00:00:00"/>
    <n v="41"/>
    <s v="Male"/>
    <s v="France"/>
    <n v="423"/>
  </r>
  <r>
    <n v="22"/>
    <x v="21"/>
    <n v="10"/>
    <x v="6"/>
    <s v="Accessories"/>
    <n v="51"/>
    <n v="1"/>
    <d v="2022-09-04T00:00:00"/>
    <n v="48"/>
    <s v="Female"/>
    <s v="Canada"/>
    <n v="51"/>
  </r>
  <r>
    <n v="23"/>
    <x v="22"/>
    <n v="24"/>
    <x v="5"/>
    <s v="Clothing"/>
    <n v="614"/>
    <n v="4"/>
    <d v="2022-03-17T00:00:00"/>
    <n v="23"/>
    <s v="Male"/>
    <s v="UK"/>
    <n v="2456"/>
  </r>
  <r>
    <n v="24"/>
    <x v="23"/>
    <n v="35"/>
    <x v="1"/>
    <s v="Accessories"/>
    <n v="611"/>
    <n v="3"/>
    <d v="2022-06-03T00:00:00"/>
    <n v="19"/>
    <s v="Female"/>
    <s v="France"/>
    <n v="1833"/>
  </r>
  <r>
    <n v="25"/>
    <x v="24"/>
    <n v="26"/>
    <x v="0"/>
    <s v="Electronics"/>
    <n v="841"/>
    <n v="3"/>
    <d v="2022-05-24T00:00:00"/>
    <n v="37"/>
    <s v="Male"/>
    <s v="USA"/>
    <n v="2523"/>
  </r>
  <r>
    <n v="26"/>
    <x v="25"/>
    <n v="37"/>
    <x v="5"/>
    <s v="Electronics"/>
    <n v="992"/>
    <n v="1"/>
    <d v="2022-03-27T00:00:00"/>
    <n v="45"/>
    <s v="Male"/>
    <s v="France"/>
    <n v="992"/>
  </r>
  <r>
    <n v="27"/>
    <x v="26"/>
    <n v="38"/>
    <x v="0"/>
    <s v="Accessories"/>
    <n v="102"/>
    <n v="3"/>
    <d v="2022-07-04T00:00:00"/>
    <n v="28"/>
    <s v="Female"/>
    <s v="Canada"/>
    <n v="306"/>
  </r>
  <r>
    <n v="28"/>
    <x v="27"/>
    <n v="21"/>
    <x v="4"/>
    <s v="Electronics"/>
    <n v="928"/>
    <n v="1"/>
    <d v="2022-10-12T00:00:00"/>
    <n v="21"/>
    <s v="Male"/>
    <s v="Australia"/>
    <n v="928"/>
  </r>
  <r>
    <n v="29"/>
    <x v="28"/>
    <n v="40"/>
    <x v="0"/>
    <s v="Accessories"/>
    <n v="798"/>
    <n v="2"/>
    <d v="2022-08-08T00:00:00"/>
    <n v="32"/>
    <s v="Male"/>
    <s v="Canada"/>
    <n v="1596"/>
  </r>
  <r>
    <n v="30"/>
    <x v="29"/>
    <n v="39"/>
    <x v="3"/>
    <s v="Clothing"/>
    <n v="826"/>
    <n v="3"/>
    <d v="2022-03-10T00:00:00"/>
    <n v="23"/>
    <s v="Female"/>
    <s v="Australia"/>
    <n v="2478"/>
  </r>
  <r>
    <n v="31"/>
    <x v="30"/>
    <n v="21"/>
    <x v="2"/>
    <s v="Electronics"/>
    <n v="611"/>
    <n v="2"/>
    <d v="2022-02-16T00:00:00"/>
    <n v="47"/>
    <s v="Male"/>
    <s v="Australia"/>
    <n v="1222"/>
  </r>
  <r>
    <n v="32"/>
    <x v="20"/>
    <n v="10"/>
    <x v="6"/>
    <s v="Clothing"/>
    <n v="614"/>
    <n v="1"/>
    <d v="2022-04-04T00:00:00"/>
    <n v="55"/>
    <s v="Female"/>
    <s v="UK"/>
    <n v="614"/>
  </r>
  <r>
    <n v="33"/>
    <x v="31"/>
    <n v="38"/>
    <x v="9"/>
    <s v="Accessories"/>
    <n v="526"/>
    <n v="4"/>
    <d v="2022-08-26T00:00:00"/>
    <n v="19"/>
    <s v="Female"/>
    <s v="France"/>
    <n v="2104"/>
  </r>
  <r>
    <n v="34"/>
    <x v="23"/>
    <n v="46"/>
    <x v="8"/>
    <s v="Accessories"/>
    <n v="130"/>
    <n v="3"/>
    <d v="2022-07-23T00:00:00"/>
    <n v="32"/>
    <s v="Female"/>
    <s v="USA"/>
    <n v="390"/>
  </r>
  <r>
    <n v="35"/>
    <x v="32"/>
    <n v="4"/>
    <x v="3"/>
    <s v="Electronics"/>
    <n v="320"/>
    <n v="1"/>
    <d v="2022-08-06T00:00:00"/>
    <n v="28"/>
    <s v="Male"/>
    <s v="USA"/>
    <n v="320"/>
  </r>
  <r>
    <n v="36"/>
    <x v="33"/>
    <n v="45"/>
    <x v="0"/>
    <s v="Electronics"/>
    <n v="251"/>
    <n v="4"/>
    <d v="2022-12-07T00:00:00"/>
    <n v="25"/>
    <s v="Male"/>
    <s v="Germany"/>
    <n v="1004"/>
  </r>
  <r>
    <n v="37"/>
    <x v="34"/>
    <n v="20"/>
    <x v="7"/>
    <s v="Accessories"/>
    <n v="251"/>
    <n v="4"/>
    <d v="2022-02-08T00:00:00"/>
    <n v="43"/>
    <s v="Male"/>
    <s v="Australia"/>
    <n v="1004"/>
  </r>
  <r>
    <n v="38"/>
    <x v="35"/>
    <n v="17"/>
    <x v="6"/>
    <s v="Electronics"/>
    <n v="947"/>
    <n v="2"/>
    <d v="2022-04-10T00:00:00"/>
    <n v="62"/>
    <s v="Female"/>
    <s v="USA"/>
    <n v="1894"/>
  </r>
  <r>
    <n v="39"/>
    <x v="36"/>
    <n v="7"/>
    <x v="3"/>
    <s v="Electronics"/>
    <n v="921"/>
    <n v="1"/>
    <d v="2022-10-16T00:00:00"/>
    <n v="61"/>
    <s v="Male"/>
    <s v="UK"/>
    <n v="921"/>
  </r>
  <r>
    <n v="40"/>
    <x v="37"/>
    <n v="4"/>
    <x v="8"/>
    <s v="Clothing"/>
    <n v="841"/>
    <n v="4"/>
    <d v="2022-09-11T00:00:00"/>
    <n v="22"/>
    <s v="Female"/>
    <s v="Australia"/>
    <n v="3364"/>
  </r>
  <r>
    <n v="41"/>
    <x v="38"/>
    <n v="29"/>
    <x v="2"/>
    <s v="Accessories"/>
    <n v="437"/>
    <n v="3"/>
    <d v="2022-08-10T00:00:00"/>
    <n v="23"/>
    <s v="Female"/>
    <s v="UK"/>
    <n v="1311"/>
  </r>
  <r>
    <n v="42"/>
    <x v="34"/>
    <n v="14"/>
    <x v="6"/>
    <s v="Electronics"/>
    <n v="774"/>
    <n v="3"/>
    <d v="2022-12-23T00:00:00"/>
    <n v="43"/>
    <s v="Male"/>
    <s v="USA"/>
    <n v="2322"/>
  </r>
  <r>
    <n v="43"/>
    <x v="39"/>
    <n v="3"/>
    <x v="8"/>
    <s v="Clothing"/>
    <n v="865"/>
    <n v="2"/>
    <d v="2022-01-23T00:00:00"/>
    <n v="21"/>
    <s v="Female"/>
    <s v="USA"/>
    <n v="1730"/>
  </r>
  <r>
    <n v="44"/>
    <x v="40"/>
    <n v="24"/>
    <x v="4"/>
    <s v="Clothing"/>
    <n v="301"/>
    <n v="4"/>
    <d v="2022-09-07T00:00:00"/>
    <n v="36"/>
    <s v="Male"/>
    <s v="Germany"/>
    <n v="1204"/>
  </r>
  <r>
    <n v="45"/>
    <x v="24"/>
    <n v="37"/>
    <x v="4"/>
    <s v="Electronics"/>
    <n v="255"/>
    <n v="1"/>
    <d v="2022-01-10T00:00:00"/>
    <n v="37"/>
    <s v="Male"/>
    <s v="USA"/>
    <n v="255"/>
  </r>
  <r>
    <n v="46"/>
    <x v="41"/>
    <n v="16"/>
    <x v="8"/>
    <s v="Electronics"/>
    <n v="319"/>
    <n v="3"/>
    <d v="2022-09-03T00:00:00"/>
    <n v="50"/>
    <s v="Male"/>
    <s v="Australia"/>
    <n v="957"/>
  </r>
  <r>
    <n v="47"/>
    <x v="42"/>
    <n v="4"/>
    <x v="3"/>
    <s v="Accessories"/>
    <n v="255"/>
    <n v="4"/>
    <d v="2022-11-21T00:00:00"/>
    <n v="37"/>
    <s v="Male"/>
    <s v="Australia"/>
    <n v="1020"/>
  </r>
  <r>
    <n v="48"/>
    <x v="43"/>
    <n v="24"/>
    <x v="6"/>
    <s v="Accessories"/>
    <n v="912"/>
    <n v="4"/>
    <d v="2022-04-10T00:00:00"/>
    <n v="29"/>
    <s v="Male"/>
    <s v="Australia"/>
    <n v="3648"/>
  </r>
  <r>
    <n v="49"/>
    <x v="44"/>
    <n v="34"/>
    <x v="3"/>
    <s v="Accessories"/>
    <n v="947"/>
    <n v="2"/>
    <d v="2022-10-17T00:00:00"/>
    <n v="64"/>
    <s v="Female"/>
    <s v="Germany"/>
    <n v="1894"/>
  </r>
  <r>
    <n v="50"/>
    <x v="45"/>
    <n v="30"/>
    <x v="1"/>
    <s v="Accessories"/>
    <n v="821"/>
    <n v="3"/>
    <d v="2022-06-29T00:00:00"/>
    <n v="18"/>
    <s v="Female"/>
    <s v="Germany"/>
    <n v="2463"/>
  </r>
  <r>
    <n v="51"/>
    <x v="26"/>
    <n v="18"/>
    <x v="0"/>
    <s v="Electronics"/>
    <n v="779"/>
    <n v="3"/>
    <d v="2022-08-11T00:00:00"/>
    <n v="43"/>
    <s v="Female"/>
    <s v="USA"/>
    <n v="2337"/>
  </r>
  <r>
    <n v="52"/>
    <x v="46"/>
    <n v="19"/>
    <x v="1"/>
    <s v="Clothing"/>
    <n v="437"/>
    <n v="1"/>
    <d v="2022-09-07T00:00:00"/>
    <n v="31"/>
    <s v="Male"/>
    <s v="Canada"/>
    <n v="437"/>
  </r>
  <r>
    <n v="53"/>
    <x v="47"/>
    <n v="31"/>
    <x v="4"/>
    <s v="Clothing"/>
    <n v="141"/>
    <n v="3"/>
    <d v="2022-05-27T00:00:00"/>
    <n v="55"/>
    <s v="Male"/>
    <s v="Canada"/>
    <n v="423"/>
  </r>
  <r>
    <n v="54"/>
    <x v="48"/>
    <n v="19"/>
    <x v="2"/>
    <s v="Electronics"/>
    <n v="319"/>
    <n v="1"/>
    <d v="2022-04-06T00:00:00"/>
    <n v="54"/>
    <s v="Male"/>
    <s v="Germany"/>
    <n v="319"/>
  </r>
  <r>
    <n v="55"/>
    <x v="6"/>
    <n v="49"/>
    <x v="5"/>
    <s v="Clothing"/>
    <n v="841"/>
    <n v="3"/>
    <d v="2022-09-14T00:00:00"/>
    <n v="28"/>
    <s v="Female"/>
    <s v="USA"/>
    <n v="2523"/>
  </r>
  <r>
    <n v="56"/>
    <x v="49"/>
    <n v="46"/>
    <x v="0"/>
    <s v="Electronics"/>
    <n v="301"/>
    <n v="2"/>
    <d v="2022-11-21T00:00:00"/>
    <n v="53"/>
    <s v="Male"/>
    <s v="Canada"/>
    <n v="602"/>
  </r>
  <r>
    <n v="57"/>
    <x v="50"/>
    <n v="19"/>
    <x v="4"/>
    <s v="Electronics"/>
    <n v="437"/>
    <n v="3"/>
    <d v="2022-01-04T00:00:00"/>
    <n v="30"/>
    <s v="Female"/>
    <s v="USA"/>
    <n v="1311"/>
  </r>
  <r>
    <n v="58"/>
    <x v="51"/>
    <n v="22"/>
    <x v="3"/>
    <s v="Clothing"/>
    <n v="826"/>
    <n v="1"/>
    <d v="2022-01-16T00:00:00"/>
    <n v="60"/>
    <s v="Female"/>
    <s v="USA"/>
    <n v="826"/>
  </r>
  <r>
    <n v="59"/>
    <x v="52"/>
    <n v="24"/>
    <x v="3"/>
    <s v="Accessories"/>
    <n v="389"/>
    <n v="1"/>
    <d v="2022-10-07T00:00:00"/>
    <n v="20"/>
    <s v="Male"/>
    <s v="USA"/>
    <n v="389"/>
  </r>
  <r>
    <n v="60"/>
    <x v="19"/>
    <n v="45"/>
    <x v="3"/>
    <s v="Clothing"/>
    <n v="752"/>
    <n v="2"/>
    <d v="2022-12-02T00:00:00"/>
    <n v="50"/>
    <s v="Male"/>
    <s v="France"/>
    <n v="1504"/>
  </r>
  <r>
    <n v="61"/>
    <x v="53"/>
    <n v="12"/>
    <x v="2"/>
    <s v="Clothing"/>
    <n v="981"/>
    <n v="3"/>
    <d v="2022-09-04T00:00:00"/>
    <n v="23"/>
    <s v="Female"/>
    <s v="Australia"/>
    <n v="2943"/>
  </r>
  <r>
    <n v="62"/>
    <x v="22"/>
    <n v="30"/>
    <x v="1"/>
    <s v="Accessories"/>
    <n v="141"/>
    <n v="3"/>
    <d v="2022-09-15T00:00:00"/>
    <n v="27"/>
    <s v="Male"/>
    <s v="USA"/>
    <n v="423"/>
  </r>
  <r>
    <n v="63"/>
    <x v="54"/>
    <n v="38"/>
    <x v="5"/>
    <s v="Clothing"/>
    <n v="301"/>
    <n v="2"/>
    <d v="2022-06-09T00:00:00"/>
    <n v="22"/>
    <s v="Female"/>
    <s v="France"/>
    <n v="602"/>
  </r>
  <r>
    <n v="64"/>
    <x v="55"/>
    <n v="31"/>
    <x v="3"/>
    <s v="Clothing"/>
    <n v="84"/>
    <n v="3"/>
    <d v="2022-12-06T00:00:00"/>
    <n v="40"/>
    <s v="Male"/>
    <s v="Germany"/>
    <n v="252"/>
  </r>
  <r>
    <n v="65"/>
    <x v="56"/>
    <n v="36"/>
    <x v="9"/>
    <s v="Accessories"/>
    <n v="102"/>
    <n v="3"/>
    <d v="2022-06-01T00:00:00"/>
    <n v="27"/>
    <s v="Male"/>
    <s v="Canada"/>
    <n v="306"/>
  </r>
  <r>
    <n v="66"/>
    <x v="40"/>
    <n v="19"/>
    <x v="0"/>
    <s v="Accessories"/>
    <n v="865"/>
    <n v="1"/>
    <d v="2022-06-27T00:00:00"/>
    <n v="61"/>
    <s v="Female"/>
    <s v="Australia"/>
    <n v="865"/>
  </r>
  <r>
    <n v="67"/>
    <x v="45"/>
    <n v="48"/>
    <x v="6"/>
    <s v="Electronics"/>
    <n v="437"/>
    <n v="3"/>
    <d v="2022-06-12T00:00:00"/>
    <n v="19"/>
    <s v="Male"/>
    <s v="Canada"/>
    <n v="1311"/>
  </r>
  <r>
    <n v="68"/>
    <x v="47"/>
    <n v="45"/>
    <x v="9"/>
    <s v="Electronics"/>
    <n v="992"/>
    <n v="3"/>
    <d v="2022-02-02T00:00:00"/>
    <n v="30"/>
    <s v="Female"/>
    <s v="Australia"/>
    <n v="2976"/>
  </r>
  <r>
    <n v="69"/>
    <x v="13"/>
    <n v="36"/>
    <x v="5"/>
    <s v="Electronics"/>
    <n v="981"/>
    <n v="2"/>
    <d v="2022-06-28T00:00:00"/>
    <n v="57"/>
    <s v="Male"/>
    <s v="Canada"/>
    <n v="1962"/>
  </r>
  <r>
    <n v="70"/>
    <x v="30"/>
    <n v="30"/>
    <x v="2"/>
    <s v="Electronics"/>
    <n v="774"/>
    <n v="2"/>
    <d v="2022-04-11T00:00:00"/>
    <n v="19"/>
    <s v="Female"/>
    <s v="Australia"/>
    <n v="1548"/>
  </r>
  <r>
    <n v="71"/>
    <x v="15"/>
    <n v="49"/>
    <x v="5"/>
    <s v="Accessories"/>
    <n v="558"/>
    <n v="4"/>
    <d v="2022-09-25T00:00:00"/>
    <n v="37"/>
    <s v="Female"/>
    <s v="Canada"/>
    <n v="2232"/>
  </r>
  <r>
    <n v="72"/>
    <x v="57"/>
    <n v="33"/>
    <x v="6"/>
    <s v="Accessories"/>
    <n v="871"/>
    <n v="1"/>
    <d v="2022-11-19T00:00:00"/>
    <n v="18"/>
    <s v="Male"/>
    <s v="Canada"/>
    <n v="871"/>
  </r>
  <r>
    <n v="73"/>
    <x v="58"/>
    <n v="18"/>
    <x v="0"/>
    <s v="Accessories"/>
    <n v="51"/>
    <n v="3"/>
    <d v="2022-03-06T00:00:00"/>
    <n v="54"/>
    <s v="Female"/>
    <s v="Canada"/>
    <n v="153"/>
  </r>
  <r>
    <n v="74"/>
    <x v="59"/>
    <n v="49"/>
    <x v="6"/>
    <s v="Clothing"/>
    <n v="211"/>
    <n v="3"/>
    <d v="2022-06-17T00:00:00"/>
    <n v="26"/>
    <s v="Male"/>
    <s v="Canada"/>
    <n v="633"/>
  </r>
  <r>
    <n v="75"/>
    <x v="50"/>
    <n v="28"/>
    <x v="8"/>
    <s v="Electronics"/>
    <n v="947"/>
    <n v="4"/>
    <d v="2022-11-26T00:00:00"/>
    <n v="34"/>
    <s v="Male"/>
    <s v="Germany"/>
    <n v="3788"/>
  </r>
  <r>
    <n v="76"/>
    <x v="0"/>
    <n v="47"/>
    <x v="0"/>
    <s v="Accessories"/>
    <n v="769"/>
    <n v="3"/>
    <d v="2022-02-12T00:00:00"/>
    <n v="26"/>
    <s v="Male"/>
    <s v="USA"/>
    <n v="2307"/>
  </r>
  <r>
    <n v="77"/>
    <x v="53"/>
    <n v="11"/>
    <x v="5"/>
    <s v="Accessories"/>
    <n v="155"/>
    <n v="1"/>
    <d v="2022-02-13T00:00:00"/>
    <n v="28"/>
    <s v="Female"/>
    <s v="UK"/>
    <n v="155"/>
  </r>
  <r>
    <n v="78"/>
    <x v="60"/>
    <n v="45"/>
    <x v="3"/>
    <s v="Electronics"/>
    <n v="395"/>
    <n v="4"/>
    <d v="2022-10-12T00:00:00"/>
    <n v="32"/>
    <s v="Female"/>
    <s v="France"/>
    <n v="1580"/>
  </r>
  <r>
    <n v="79"/>
    <x v="33"/>
    <n v="33"/>
    <x v="5"/>
    <s v="Clothing"/>
    <n v="615"/>
    <n v="1"/>
    <d v="2022-01-12T00:00:00"/>
    <n v="41"/>
    <s v="Male"/>
    <s v="UK"/>
    <n v="615"/>
  </r>
  <r>
    <n v="80"/>
    <x v="61"/>
    <n v="17"/>
    <x v="5"/>
    <s v="Accessories"/>
    <n v="505"/>
    <n v="4"/>
    <d v="2022-04-05T00:00:00"/>
    <n v="55"/>
    <s v="Male"/>
    <s v="UK"/>
    <n v="2020"/>
  </r>
  <r>
    <n v="81"/>
    <x v="10"/>
    <n v="6"/>
    <x v="0"/>
    <s v="Electronics"/>
    <n v="504"/>
    <n v="4"/>
    <d v="2022-10-29T00:00:00"/>
    <n v="52"/>
    <s v="Female"/>
    <s v="Australia"/>
    <n v="2016"/>
  </r>
  <r>
    <n v="82"/>
    <x v="62"/>
    <n v="4"/>
    <x v="8"/>
    <s v="Clothing"/>
    <n v="416"/>
    <n v="2"/>
    <d v="2022-09-10T00:00:00"/>
    <n v="47"/>
    <s v="Male"/>
    <s v="USA"/>
    <n v="832"/>
  </r>
  <r>
    <n v="83"/>
    <x v="63"/>
    <n v="20"/>
    <x v="5"/>
    <s v="Accessories"/>
    <n v="255"/>
    <n v="1"/>
    <d v="2022-08-30T00:00:00"/>
    <n v="48"/>
    <s v="Male"/>
    <s v="Australia"/>
    <n v="255"/>
  </r>
  <r>
    <n v="84"/>
    <x v="64"/>
    <n v="48"/>
    <x v="9"/>
    <s v="Accessories"/>
    <n v="614"/>
    <n v="3"/>
    <d v="2022-02-04T00:00:00"/>
    <n v="22"/>
    <s v="Female"/>
    <s v="USA"/>
    <n v="1842"/>
  </r>
  <r>
    <n v="85"/>
    <x v="65"/>
    <n v="47"/>
    <x v="4"/>
    <s v="Electronics"/>
    <n v="971"/>
    <n v="3"/>
    <d v="2022-08-03T00:00:00"/>
    <n v="61"/>
    <s v="Male"/>
    <s v="USA"/>
    <n v="2913"/>
  </r>
  <r>
    <n v="86"/>
    <x v="66"/>
    <n v="27"/>
    <x v="7"/>
    <s v="Accessories"/>
    <n v="981"/>
    <n v="1"/>
    <d v="2022-12-03T00:00:00"/>
    <n v="31"/>
    <s v="Female"/>
    <s v="Canada"/>
    <n v="981"/>
  </r>
  <r>
    <n v="87"/>
    <x v="67"/>
    <n v="15"/>
    <x v="7"/>
    <s v="Accessories"/>
    <n v="437"/>
    <n v="3"/>
    <d v="2022-03-31T00:00:00"/>
    <n v="28"/>
    <s v="Male"/>
    <s v="Germany"/>
    <n v="1311"/>
  </r>
  <r>
    <n v="88"/>
    <x v="68"/>
    <n v="6"/>
    <x v="5"/>
    <s v="Clothing"/>
    <n v="921"/>
    <n v="3"/>
    <d v="2022-09-21T00:00:00"/>
    <n v="26"/>
    <s v="Female"/>
    <s v="Canada"/>
    <n v="2763"/>
  </r>
  <r>
    <n v="89"/>
    <x v="64"/>
    <n v="47"/>
    <x v="9"/>
    <s v="Electronics"/>
    <n v="981"/>
    <n v="1"/>
    <d v="2022-04-03T00:00:00"/>
    <n v="51"/>
    <s v="Male"/>
    <s v="Germany"/>
    <n v="981"/>
  </r>
  <r>
    <n v="90"/>
    <x v="69"/>
    <n v="14"/>
    <x v="3"/>
    <s v="Electronics"/>
    <n v="504"/>
    <n v="4"/>
    <d v="2022-03-31T00:00:00"/>
    <n v="29"/>
    <s v="Male"/>
    <s v="Australia"/>
    <n v="2016"/>
  </r>
  <r>
    <n v="91"/>
    <x v="70"/>
    <n v="11"/>
    <x v="2"/>
    <s v="Clothing"/>
    <n v="319"/>
    <n v="1"/>
    <d v="2022-04-25T00:00:00"/>
    <n v="52"/>
    <s v="Female"/>
    <s v="Germany"/>
    <n v="319"/>
  </r>
  <r>
    <n v="92"/>
    <x v="71"/>
    <n v="39"/>
    <x v="2"/>
    <s v="Clothing"/>
    <n v="841"/>
    <n v="4"/>
    <d v="2022-04-15T00:00:00"/>
    <n v="52"/>
    <s v="Male"/>
    <s v="Australia"/>
    <n v="3364"/>
  </r>
  <r>
    <n v="93"/>
    <x v="69"/>
    <n v="9"/>
    <x v="0"/>
    <s v="Accessories"/>
    <n v="992"/>
    <n v="3"/>
    <d v="2022-07-15T00:00:00"/>
    <n v="18"/>
    <s v="Female"/>
    <s v="UK"/>
    <n v="2976"/>
  </r>
  <r>
    <n v="94"/>
    <x v="72"/>
    <n v="26"/>
    <x v="7"/>
    <s v="Accessories"/>
    <n v="825"/>
    <n v="3"/>
    <d v="2022-11-10T00:00:00"/>
    <n v="57"/>
    <s v="Male"/>
    <s v="UK"/>
    <n v="2475"/>
  </r>
  <r>
    <n v="95"/>
    <x v="38"/>
    <n v="16"/>
    <x v="5"/>
    <s v="Accessories"/>
    <n v="389"/>
    <n v="3"/>
    <d v="2022-04-24T00:00:00"/>
    <n v="39"/>
    <s v="Female"/>
    <s v="Germany"/>
    <n v="1167"/>
  </r>
  <r>
    <n v="96"/>
    <x v="55"/>
    <n v="5"/>
    <x v="2"/>
    <s v="Electronics"/>
    <n v="752"/>
    <n v="2"/>
    <d v="2022-03-16T00:00:00"/>
    <n v="46"/>
    <s v="Female"/>
    <s v="Germany"/>
    <n v="1504"/>
  </r>
  <r>
    <n v="97"/>
    <x v="69"/>
    <n v="10"/>
    <x v="5"/>
    <s v="Accessories"/>
    <n v="992"/>
    <n v="4"/>
    <d v="2022-08-05T00:00:00"/>
    <n v="25"/>
    <s v="Female"/>
    <s v="Australia"/>
    <n v="3968"/>
  </r>
  <r>
    <n v="98"/>
    <x v="58"/>
    <n v="50"/>
    <x v="0"/>
    <s v="Clothing"/>
    <n v="611"/>
    <n v="2"/>
    <d v="2022-10-04T00:00:00"/>
    <n v="28"/>
    <s v="Female"/>
    <s v="Canada"/>
    <n v="1222"/>
  </r>
  <r>
    <n v="99"/>
    <x v="73"/>
    <n v="3"/>
    <x v="7"/>
    <s v="Accessories"/>
    <n v="141"/>
    <n v="2"/>
    <d v="2022-09-06T00:00:00"/>
    <n v="58"/>
    <s v="Male"/>
    <s v="Australia"/>
    <n v="282"/>
  </r>
  <r>
    <n v="100"/>
    <x v="74"/>
    <n v="13"/>
    <x v="6"/>
    <s v="Clothing"/>
    <n v="319"/>
    <n v="1"/>
    <d v="2022-06-13T00:00:00"/>
    <n v="54"/>
    <s v="Male"/>
    <s v="Canada"/>
    <n v="319"/>
  </r>
  <r>
    <n v="101"/>
    <x v="75"/>
    <n v="43"/>
    <x v="4"/>
    <s v="Accessories"/>
    <n v="389"/>
    <n v="2"/>
    <d v="2022-12-23T00:00:00"/>
    <n v="31"/>
    <s v="Female"/>
    <s v="UK"/>
    <n v="778"/>
  </r>
  <r>
    <n v="102"/>
    <x v="76"/>
    <n v="49"/>
    <x v="4"/>
    <s v="Clothing"/>
    <n v="451"/>
    <n v="1"/>
    <d v="2022-07-11T00:00:00"/>
    <n v="47"/>
    <s v="Female"/>
    <s v="USA"/>
    <n v="451"/>
  </r>
  <r>
    <n v="103"/>
    <x v="21"/>
    <n v="30"/>
    <x v="2"/>
    <s v="Accessories"/>
    <n v="255"/>
    <n v="1"/>
    <d v="2022-08-15T00:00:00"/>
    <n v="52"/>
    <s v="Female"/>
    <s v="Germany"/>
    <n v="255"/>
  </r>
  <r>
    <n v="104"/>
    <x v="46"/>
    <n v="45"/>
    <x v="4"/>
    <s v="Accessories"/>
    <n v="389"/>
    <n v="2"/>
    <d v="2022-06-26T00:00:00"/>
    <n v="38"/>
    <s v="Male"/>
    <s v="Canada"/>
    <n v="778"/>
  </r>
  <r>
    <n v="105"/>
    <x v="76"/>
    <n v="6"/>
    <x v="6"/>
    <s v="Electronics"/>
    <n v="319"/>
    <n v="4"/>
    <d v="2022-04-09T00:00:00"/>
    <n v="54"/>
    <s v="Male"/>
    <s v="Australia"/>
    <n v="1276"/>
  </r>
  <r>
    <n v="106"/>
    <x v="77"/>
    <n v="17"/>
    <x v="5"/>
    <s v="Clothing"/>
    <n v="971"/>
    <n v="4"/>
    <d v="2022-02-05T00:00:00"/>
    <n v="22"/>
    <s v="Male"/>
    <s v="UK"/>
    <n v="3884"/>
  </r>
  <r>
    <n v="107"/>
    <x v="78"/>
    <n v="45"/>
    <x v="0"/>
    <s v="Electronics"/>
    <n v="102"/>
    <n v="4"/>
    <d v="2022-04-06T00:00:00"/>
    <n v="36"/>
    <s v="Male"/>
    <s v="Canada"/>
    <n v="408"/>
  </r>
  <r>
    <n v="108"/>
    <x v="68"/>
    <n v="19"/>
    <x v="6"/>
    <s v="Accessories"/>
    <n v="751"/>
    <n v="4"/>
    <d v="2022-06-01T00:00:00"/>
    <n v="31"/>
    <s v="Female"/>
    <s v="Australia"/>
    <n v="3004"/>
  </r>
  <r>
    <n v="109"/>
    <x v="58"/>
    <n v="42"/>
    <x v="0"/>
    <s v="Accessories"/>
    <n v="437"/>
    <n v="4"/>
    <d v="2022-05-31T00:00:00"/>
    <n v="43"/>
    <s v="Female"/>
    <s v="Germany"/>
    <n v="1748"/>
  </r>
  <r>
    <n v="110"/>
    <x v="49"/>
    <n v="35"/>
    <x v="0"/>
    <s v="Clothing"/>
    <n v="615"/>
    <n v="2"/>
    <d v="2022-07-09T00:00:00"/>
    <n v="21"/>
    <s v="Female"/>
    <s v="Germany"/>
    <n v="1230"/>
  </r>
  <r>
    <n v="111"/>
    <x v="79"/>
    <n v="46"/>
    <x v="7"/>
    <s v="Accessories"/>
    <n v="389"/>
    <n v="2"/>
    <d v="2022-08-12T00:00:00"/>
    <n v="42"/>
    <s v="Male"/>
    <s v="France"/>
    <n v="778"/>
  </r>
  <r>
    <n v="112"/>
    <x v="80"/>
    <n v="26"/>
    <x v="5"/>
    <s v="Electronics"/>
    <n v="395"/>
    <n v="3"/>
    <d v="2022-02-06T00:00:00"/>
    <n v="62"/>
    <s v="Male"/>
    <s v="USA"/>
    <n v="1185"/>
  </r>
  <r>
    <n v="113"/>
    <x v="0"/>
    <n v="5"/>
    <x v="9"/>
    <s v="Clothing"/>
    <n v="605"/>
    <n v="4"/>
    <d v="2022-09-25T00:00:00"/>
    <n v="59"/>
    <s v="Male"/>
    <s v="France"/>
    <n v="2420"/>
  </r>
  <r>
    <n v="114"/>
    <x v="51"/>
    <n v="29"/>
    <x v="4"/>
    <s v="Clothing"/>
    <n v="928"/>
    <n v="2"/>
    <d v="2022-07-02T00:00:00"/>
    <n v="42"/>
    <s v="Female"/>
    <s v="UK"/>
    <n v="1856"/>
  </r>
  <r>
    <n v="115"/>
    <x v="31"/>
    <n v="37"/>
    <x v="9"/>
    <s v="Accessories"/>
    <n v="776"/>
    <n v="3"/>
    <d v="2022-01-13T00:00:00"/>
    <n v="35"/>
    <s v="Female"/>
    <s v="Canada"/>
    <n v="2328"/>
  </r>
  <r>
    <n v="116"/>
    <x v="81"/>
    <n v="20"/>
    <x v="7"/>
    <s v="Accessories"/>
    <n v="947"/>
    <n v="4"/>
    <d v="2022-10-06T00:00:00"/>
    <n v="57"/>
    <s v="Male"/>
    <s v="UK"/>
    <n v="3788"/>
  </r>
  <r>
    <n v="117"/>
    <x v="82"/>
    <n v="49"/>
    <x v="0"/>
    <s v="Accessories"/>
    <n v="319"/>
    <n v="1"/>
    <d v="2022-08-05T00:00:00"/>
    <n v="25"/>
    <s v="Female"/>
    <s v="Australia"/>
    <n v="319"/>
  </r>
  <r>
    <n v="118"/>
    <x v="83"/>
    <n v="21"/>
    <x v="2"/>
    <s v="Electronics"/>
    <n v="84"/>
    <n v="3"/>
    <d v="2022-12-21T00:00:00"/>
    <n v="56"/>
    <s v="Male"/>
    <s v="Germany"/>
    <n v="252"/>
  </r>
  <r>
    <n v="119"/>
    <x v="84"/>
    <n v="10"/>
    <x v="4"/>
    <s v="Accessories"/>
    <n v="51"/>
    <n v="2"/>
    <d v="2022-12-27T00:00:00"/>
    <n v="57"/>
    <s v="Male"/>
    <s v="France"/>
    <n v="102"/>
  </r>
  <r>
    <n v="120"/>
    <x v="33"/>
    <n v="5"/>
    <x v="4"/>
    <s v="Clothing"/>
    <n v="416"/>
    <n v="1"/>
    <d v="2022-10-13T00:00:00"/>
    <n v="31"/>
    <s v="Female"/>
    <s v="France"/>
    <n v="416"/>
  </r>
  <r>
    <n v="121"/>
    <x v="85"/>
    <n v="36"/>
    <x v="5"/>
    <s v="Accessories"/>
    <n v="130"/>
    <n v="1"/>
    <d v="2022-09-30T00:00:00"/>
    <n v="49"/>
    <s v="Male"/>
    <s v="France"/>
    <n v="130"/>
  </r>
  <r>
    <n v="122"/>
    <x v="86"/>
    <n v="6"/>
    <x v="8"/>
    <s v="Electronics"/>
    <n v="155"/>
    <n v="1"/>
    <d v="2022-03-03T00:00:00"/>
    <n v="55"/>
    <s v="Female"/>
    <s v="UK"/>
    <n v="155"/>
  </r>
  <r>
    <n v="123"/>
    <x v="87"/>
    <n v="26"/>
    <x v="1"/>
    <s v="Clothing"/>
    <n v="255"/>
    <n v="3"/>
    <d v="2022-03-25T00:00:00"/>
    <n v="50"/>
    <s v="Male"/>
    <s v="Germany"/>
    <n v="765"/>
  </r>
  <r>
    <n v="124"/>
    <x v="88"/>
    <n v="4"/>
    <x v="1"/>
    <s v="Accessories"/>
    <n v="155"/>
    <n v="2"/>
    <d v="2022-08-05T00:00:00"/>
    <n v="40"/>
    <s v="Female"/>
    <s v="Canada"/>
    <n v="310"/>
  </r>
  <r>
    <n v="125"/>
    <x v="17"/>
    <n v="39"/>
    <x v="1"/>
    <s v="Electronics"/>
    <n v="437"/>
    <n v="1"/>
    <d v="2022-12-08T00:00:00"/>
    <n v="32"/>
    <s v="Female"/>
    <s v="Australia"/>
    <n v="437"/>
  </r>
  <r>
    <n v="126"/>
    <x v="13"/>
    <n v="39"/>
    <x v="8"/>
    <s v="Accessories"/>
    <n v="779"/>
    <n v="4"/>
    <d v="2022-07-06T00:00:00"/>
    <n v="50"/>
    <s v="Female"/>
    <s v="Canada"/>
    <n v="3116"/>
  </r>
  <r>
    <n v="127"/>
    <x v="89"/>
    <n v="50"/>
    <x v="5"/>
    <s v="Accessories"/>
    <n v="51"/>
    <n v="1"/>
    <d v="2022-01-19T00:00:00"/>
    <n v="42"/>
    <s v="Male"/>
    <s v="UK"/>
    <n v="51"/>
  </r>
  <r>
    <n v="128"/>
    <x v="90"/>
    <n v="35"/>
    <x v="8"/>
    <s v="Accessories"/>
    <n v="779"/>
    <n v="1"/>
    <d v="2022-06-26T00:00:00"/>
    <n v="34"/>
    <s v="Male"/>
    <s v="Australia"/>
    <n v="779"/>
  </r>
  <r>
    <n v="129"/>
    <x v="19"/>
    <n v="1"/>
    <x v="1"/>
    <s v="Electronics"/>
    <n v="821"/>
    <n v="3"/>
    <d v="2022-04-10T00:00:00"/>
    <n v="50"/>
    <s v="Female"/>
    <s v="France"/>
    <n v="2463"/>
  </r>
  <r>
    <n v="130"/>
    <x v="91"/>
    <n v="24"/>
    <x v="7"/>
    <s v="Clothing"/>
    <n v="921"/>
    <n v="3"/>
    <d v="2022-08-21T00:00:00"/>
    <n v="64"/>
    <s v="Female"/>
    <s v="USA"/>
    <n v="2763"/>
  </r>
  <r>
    <n v="131"/>
    <x v="66"/>
    <n v="36"/>
    <x v="6"/>
    <s v="Accessories"/>
    <n v="558"/>
    <n v="2"/>
    <d v="2022-03-17T00:00:00"/>
    <n v="19"/>
    <s v="Male"/>
    <s v="UK"/>
    <n v="1116"/>
  </r>
  <r>
    <n v="132"/>
    <x v="85"/>
    <n v="6"/>
    <x v="0"/>
    <s v="Accessories"/>
    <n v="751"/>
    <n v="4"/>
    <d v="2022-09-22T00:00:00"/>
    <n v="31"/>
    <s v="Male"/>
    <s v="UK"/>
    <n v="3004"/>
  </r>
  <r>
    <n v="133"/>
    <x v="92"/>
    <n v="41"/>
    <x v="8"/>
    <s v="Electronics"/>
    <n v="504"/>
    <n v="3"/>
    <d v="2022-10-11T00:00:00"/>
    <n v="57"/>
    <s v="Male"/>
    <s v="Germany"/>
    <n v="1512"/>
  </r>
  <r>
    <n v="134"/>
    <x v="41"/>
    <n v="46"/>
    <x v="5"/>
    <s v="Electronics"/>
    <n v="526"/>
    <n v="1"/>
    <d v="2022-07-25T00:00:00"/>
    <n v="57"/>
    <s v="Female"/>
    <s v="Canada"/>
    <n v="526"/>
  </r>
  <r>
    <n v="135"/>
    <x v="64"/>
    <n v="44"/>
    <x v="5"/>
    <s v="Accessories"/>
    <n v="779"/>
    <n v="2"/>
    <d v="2022-08-11T00:00:00"/>
    <n v="56"/>
    <s v="Male"/>
    <s v="UK"/>
    <n v="1558"/>
  </r>
  <r>
    <n v="136"/>
    <x v="93"/>
    <n v="31"/>
    <x v="9"/>
    <s v="Clothing"/>
    <n v="558"/>
    <n v="1"/>
    <d v="2022-02-21T00:00:00"/>
    <n v="23"/>
    <s v="Male"/>
    <s v="UK"/>
    <n v="558"/>
  </r>
  <r>
    <n v="137"/>
    <x v="4"/>
    <n v="20"/>
    <x v="6"/>
    <s v="Electronics"/>
    <n v="611"/>
    <n v="1"/>
    <d v="2022-12-05T00:00:00"/>
    <n v="23"/>
    <s v="Female"/>
    <s v="France"/>
    <n v="611"/>
  </r>
  <r>
    <n v="138"/>
    <x v="0"/>
    <n v="24"/>
    <x v="2"/>
    <s v="Accessories"/>
    <n v="395"/>
    <n v="3"/>
    <d v="2022-05-24T00:00:00"/>
    <n v="20"/>
    <s v="Male"/>
    <s v="France"/>
    <n v="1185"/>
  </r>
  <r>
    <n v="139"/>
    <x v="94"/>
    <n v="25"/>
    <x v="4"/>
    <s v="Clothing"/>
    <n v="141"/>
    <n v="2"/>
    <d v="2022-03-10T00:00:00"/>
    <n v="24"/>
    <s v="Male"/>
    <s v="Australia"/>
    <n v="282"/>
  </r>
  <r>
    <n v="140"/>
    <x v="3"/>
    <n v="36"/>
    <x v="1"/>
    <s v="Clothing"/>
    <n v="389"/>
    <n v="4"/>
    <d v="2022-04-09T00:00:00"/>
    <n v="25"/>
    <s v="Male"/>
    <s v="USA"/>
    <n v="1556"/>
  </r>
  <r>
    <n v="141"/>
    <x v="56"/>
    <n v="21"/>
    <x v="2"/>
    <s v="Accessories"/>
    <n v="451"/>
    <n v="4"/>
    <d v="2022-01-25T00:00:00"/>
    <n v="59"/>
    <s v="Female"/>
    <s v="Germany"/>
    <n v="1804"/>
  </r>
  <r>
    <n v="142"/>
    <x v="44"/>
    <n v="30"/>
    <x v="9"/>
    <s v="Accessories"/>
    <n v="751"/>
    <n v="3"/>
    <d v="2022-02-22T00:00:00"/>
    <n v="32"/>
    <s v="Female"/>
    <s v="USA"/>
    <n v="2253"/>
  </r>
  <r>
    <n v="143"/>
    <x v="95"/>
    <n v="24"/>
    <x v="1"/>
    <s v="Accessories"/>
    <n v="389"/>
    <n v="3"/>
    <d v="2022-05-31T00:00:00"/>
    <n v="64"/>
    <s v="Female"/>
    <s v="Australia"/>
    <n v="1167"/>
  </r>
  <r>
    <n v="144"/>
    <x v="70"/>
    <n v="44"/>
    <x v="6"/>
    <s v="Clothing"/>
    <n v="921"/>
    <n v="2"/>
    <d v="2022-05-24T00:00:00"/>
    <n v="46"/>
    <s v="Female"/>
    <s v="France"/>
    <n v="1842"/>
  </r>
  <r>
    <n v="145"/>
    <x v="43"/>
    <n v="42"/>
    <x v="9"/>
    <s v="Clothing"/>
    <n v="526"/>
    <n v="4"/>
    <d v="2022-02-26T00:00:00"/>
    <n v="50"/>
    <s v="Female"/>
    <s v="Canada"/>
    <n v="2104"/>
  </r>
  <r>
    <n v="146"/>
    <x v="20"/>
    <n v="30"/>
    <x v="1"/>
    <s v="Clothing"/>
    <n v="51"/>
    <n v="4"/>
    <d v="2022-02-08T00:00:00"/>
    <n v="47"/>
    <s v="Female"/>
    <s v="France"/>
    <n v="204"/>
  </r>
  <r>
    <n v="147"/>
    <x v="96"/>
    <n v="22"/>
    <x v="6"/>
    <s v="Electronics"/>
    <n v="751"/>
    <n v="4"/>
    <d v="2022-04-19T00:00:00"/>
    <n v="56"/>
    <s v="Female"/>
    <s v="Germany"/>
    <n v="3004"/>
  </r>
  <r>
    <n v="148"/>
    <x v="97"/>
    <n v="28"/>
    <x v="3"/>
    <s v="Clothing"/>
    <n v="841"/>
    <n v="1"/>
    <d v="2022-06-30T00:00:00"/>
    <n v="44"/>
    <s v="Male"/>
    <s v="France"/>
    <n v="841"/>
  </r>
  <r>
    <n v="149"/>
    <x v="98"/>
    <n v="7"/>
    <x v="2"/>
    <s v="Electronics"/>
    <n v="752"/>
    <n v="4"/>
    <d v="2022-02-11T00:00:00"/>
    <n v="53"/>
    <s v="Male"/>
    <s v="Germany"/>
    <n v="3008"/>
  </r>
  <r>
    <n v="150"/>
    <x v="15"/>
    <n v="35"/>
    <x v="2"/>
    <s v="Electronics"/>
    <n v="841"/>
    <n v="1"/>
    <d v="2022-07-05T00:00:00"/>
    <n v="46"/>
    <s v="Female"/>
    <s v="Germany"/>
    <n v="841"/>
  </r>
  <r>
    <n v="151"/>
    <x v="67"/>
    <n v="28"/>
    <x v="4"/>
    <s v="Accessories"/>
    <n v="992"/>
    <n v="2"/>
    <d v="2022-08-11T00:00:00"/>
    <n v="55"/>
    <s v="Male"/>
    <s v="Germany"/>
    <n v="1984"/>
  </r>
  <r>
    <n v="152"/>
    <x v="67"/>
    <n v="14"/>
    <x v="6"/>
    <s v="Accessories"/>
    <n v="416"/>
    <n v="1"/>
    <d v="2022-05-02T00:00:00"/>
    <n v="50"/>
    <s v="Male"/>
    <s v="Australia"/>
    <n v="416"/>
  </r>
  <r>
    <n v="153"/>
    <x v="99"/>
    <n v="10"/>
    <x v="8"/>
    <s v="Accessories"/>
    <n v="614"/>
    <n v="2"/>
    <d v="2022-05-13T00:00:00"/>
    <n v="54"/>
    <s v="Female"/>
    <s v="Germany"/>
    <n v="1228"/>
  </r>
  <r>
    <n v="154"/>
    <x v="19"/>
    <n v="16"/>
    <x v="3"/>
    <s v="Accessories"/>
    <n v="558"/>
    <n v="4"/>
    <d v="2022-06-12T00:00:00"/>
    <n v="44"/>
    <s v="Male"/>
    <s v="Germany"/>
    <n v="2232"/>
  </r>
  <r>
    <n v="155"/>
    <x v="100"/>
    <n v="16"/>
    <x v="7"/>
    <s v="Electronics"/>
    <n v="912"/>
    <n v="4"/>
    <d v="2022-08-03T00:00:00"/>
    <n v="50"/>
    <s v="Male"/>
    <s v="Canada"/>
    <n v="3648"/>
  </r>
  <r>
    <n v="156"/>
    <x v="16"/>
    <n v="31"/>
    <x v="1"/>
    <s v="Accessories"/>
    <n v="871"/>
    <n v="2"/>
    <d v="2022-08-09T00:00:00"/>
    <n v="21"/>
    <s v="Male"/>
    <s v="USA"/>
    <n v="1742"/>
  </r>
  <r>
    <n v="157"/>
    <x v="91"/>
    <n v="42"/>
    <x v="3"/>
    <s v="Clothing"/>
    <n v="865"/>
    <n v="3"/>
    <d v="2022-08-23T00:00:00"/>
    <n v="39"/>
    <s v="Male"/>
    <s v="UK"/>
    <n v="2595"/>
  </r>
  <r>
    <n v="158"/>
    <x v="101"/>
    <n v="25"/>
    <x v="6"/>
    <s v="Clothing"/>
    <n v="981"/>
    <n v="2"/>
    <d v="2022-11-27T00:00:00"/>
    <n v="19"/>
    <s v="Male"/>
    <s v="USA"/>
    <n v="1962"/>
  </r>
  <r>
    <n v="159"/>
    <x v="37"/>
    <n v="13"/>
    <x v="0"/>
    <s v="Accessories"/>
    <n v="395"/>
    <n v="3"/>
    <d v="2022-05-26T00:00:00"/>
    <n v="27"/>
    <s v="Female"/>
    <s v="Germany"/>
    <n v="1185"/>
  </r>
  <r>
    <n v="160"/>
    <x v="3"/>
    <n v="6"/>
    <x v="1"/>
    <s v="Electronics"/>
    <n v="821"/>
    <n v="1"/>
    <d v="2022-08-27T00:00:00"/>
    <n v="22"/>
    <s v="Female"/>
    <s v="Canada"/>
    <n v="821"/>
  </r>
  <r>
    <n v="161"/>
    <x v="49"/>
    <n v="44"/>
    <x v="5"/>
    <s v="Clothing"/>
    <n v="558"/>
    <n v="1"/>
    <d v="2022-03-17T00:00:00"/>
    <n v="27"/>
    <s v="Female"/>
    <s v="France"/>
    <n v="558"/>
  </r>
  <r>
    <n v="162"/>
    <x v="4"/>
    <n v="9"/>
    <x v="2"/>
    <s v="Clothing"/>
    <n v="511"/>
    <n v="1"/>
    <d v="2022-01-09T00:00:00"/>
    <n v="50"/>
    <s v="Male"/>
    <s v="Canada"/>
    <n v="511"/>
  </r>
  <r>
    <n v="163"/>
    <x v="87"/>
    <n v="45"/>
    <x v="6"/>
    <s v="Electronics"/>
    <n v="615"/>
    <n v="4"/>
    <d v="2022-03-15T00:00:00"/>
    <n v="55"/>
    <s v="Female"/>
    <s v="Germany"/>
    <n v="2460"/>
  </r>
  <r>
    <n v="164"/>
    <x v="102"/>
    <n v="36"/>
    <x v="5"/>
    <s v="Electronics"/>
    <n v="526"/>
    <n v="1"/>
    <d v="2022-09-10T00:00:00"/>
    <n v="30"/>
    <s v="Male"/>
    <s v="Canada"/>
    <n v="526"/>
  </r>
  <r>
    <n v="165"/>
    <x v="45"/>
    <n v="43"/>
    <x v="4"/>
    <s v="Accessories"/>
    <n v="774"/>
    <n v="3"/>
    <d v="2022-08-18T00:00:00"/>
    <n v="48"/>
    <s v="Male"/>
    <s v="Canada"/>
    <n v="2322"/>
  </r>
  <r>
    <n v="166"/>
    <x v="4"/>
    <n v="20"/>
    <x v="9"/>
    <s v="Electronics"/>
    <n v="776"/>
    <n v="1"/>
    <d v="2022-01-07T00:00:00"/>
    <n v="64"/>
    <s v="Male"/>
    <s v="Germany"/>
    <n v="776"/>
  </r>
  <r>
    <n v="167"/>
    <x v="103"/>
    <n v="18"/>
    <x v="7"/>
    <s v="Accessories"/>
    <n v="752"/>
    <n v="2"/>
    <d v="2022-06-23T00:00:00"/>
    <n v="53"/>
    <s v="Male"/>
    <s v="Australia"/>
    <n v="1504"/>
  </r>
  <r>
    <n v="168"/>
    <x v="104"/>
    <n v="43"/>
    <x v="7"/>
    <s v="Accessories"/>
    <n v="779"/>
    <n v="2"/>
    <d v="2022-05-21T00:00:00"/>
    <n v="62"/>
    <s v="Female"/>
    <s v="Canada"/>
    <n v="1558"/>
  </r>
  <r>
    <n v="169"/>
    <x v="105"/>
    <n v="21"/>
    <x v="5"/>
    <s v="Electronics"/>
    <n v="928"/>
    <n v="4"/>
    <d v="2022-06-17T00:00:00"/>
    <n v="41"/>
    <s v="Female"/>
    <s v="UK"/>
    <n v="3712"/>
  </r>
  <r>
    <n v="170"/>
    <x v="106"/>
    <n v="4"/>
    <x v="2"/>
    <s v="Accessories"/>
    <n v="511"/>
    <n v="2"/>
    <d v="2022-06-19T00:00:00"/>
    <n v="32"/>
    <s v="Male"/>
    <s v="UK"/>
    <n v="1022"/>
  </r>
  <r>
    <n v="171"/>
    <x v="105"/>
    <n v="50"/>
    <x v="4"/>
    <s v="Clothing"/>
    <n v="51"/>
    <n v="3"/>
    <d v="2022-10-10T00:00:00"/>
    <n v="46"/>
    <s v="Female"/>
    <s v="Canada"/>
    <n v="153"/>
  </r>
  <r>
    <n v="172"/>
    <x v="107"/>
    <n v="33"/>
    <x v="0"/>
    <s v="Clothing"/>
    <n v="752"/>
    <n v="1"/>
    <d v="2022-05-02T00:00:00"/>
    <n v="25"/>
    <s v="Male"/>
    <s v="Australia"/>
    <n v="752"/>
  </r>
  <r>
    <n v="173"/>
    <x v="108"/>
    <n v="27"/>
    <x v="2"/>
    <s v="Accessories"/>
    <n v="751"/>
    <n v="4"/>
    <d v="2022-07-13T00:00:00"/>
    <n v="22"/>
    <s v="Female"/>
    <s v="France"/>
    <n v="3004"/>
  </r>
  <r>
    <n v="174"/>
    <x v="35"/>
    <n v="7"/>
    <x v="3"/>
    <s v="Clothing"/>
    <n v="51"/>
    <n v="1"/>
    <d v="2022-01-05T00:00:00"/>
    <n v="46"/>
    <s v="Female"/>
    <s v="Germany"/>
    <n v="51"/>
  </r>
  <r>
    <n v="175"/>
    <x v="109"/>
    <n v="6"/>
    <x v="7"/>
    <s v="Accessories"/>
    <n v="769"/>
    <n v="1"/>
    <d v="2022-01-29T00:00:00"/>
    <n v="64"/>
    <s v="Male"/>
    <s v="UK"/>
    <n v="769"/>
  </r>
  <r>
    <n v="176"/>
    <x v="101"/>
    <n v="15"/>
    <x v="3"/>
    <s v="Accessories"/>
    <n v="437"/>
    <n v="3"/>
    <d v="2022-06-14T00:00:00"/>
    <n v="21"/>
    <s v="Female"/>
    <s v="France"/>
    <n v="1311"/>
  </r>
  <r>
    <n v="177"/>
    <x v="78"/>
    <n v="18"/>
    <x v="1"/>
    <s v="Electronics"/>
    <n v="51"/>
    <n v="2"/>
    <d v="2022-12-05T00:00:00"/>
    <n v="29"/>
    <s v="Male"/>
    <s v="Canada"/>
    <n v="102"/>
  </r>
  <r>
    <n v="178"/>
    <x v="110"/>
    <n v="32"/>
    <x v="8"/>
    <s v="Electronics"/>
    <n v="865"/>
    <n v="2"/>
    <d v="2022-05-16T00:00:00"/>
    <n v="62"/>
    <s v="Female"/>
    <s v="France"/>
    <n v="1730"/>
  </r>
  <r>
    <n v="179"/>
    <x v="100"/>
    <n v="11"/>
    <x v="6"/>
    <s v="Clothing"/>
    <n v="928"/>
    <n v="1"/>
    <d v="2022-12-31T00:00:00"/>
    <n v="19"/>
    <s v="Male"/>
    <s v="USA"/>
    <n v="928"/>
  </r>
  <r>
    <n v="180"/>
    <x v="107"/>
    <n v="20"/>
    <x v="4"/>
    <s v="Electronics"/>
    <n v="395"/>
    <n v="4"/>
    <d v="2022-11-17T00:00:00"/>
    <n v="44"/>
    <s v="Male"/>
    <s v="UK"/>
    <n v="1580"/>
  </r>
  <r>
    <n v="181"/>
    <x v="22"/>
    <n v="24"/>
    <x v="2"/>
    <s v="Electronics"/>
    <n v="605"/>
    <n v="2"/>
    <d v="2022-12-08T00:00:00"/>
    <n v="48"/>
    <s v="Female"/>
    <s v="Canada"/>
    <n v="1210"/>
  </r>
  <r>
    <n v="182"/>
    <x v="91"/>
    <n v="15"/>
    <x v="7"/>
    <s v="Accessories"/>
    <n v="912"/>
    <n v="4"/>
    <d v="2022-05-25T00:00:00"/>
    <n v="53"/>
    <s v="Female"/>
    <s v="Germany"/>
    <n v="3648"/>
  </r>
  <r>
    <n v="183"/>
    <x v="36"/>
    <n v="48"/>
    <x v="3"/>
    <s v="Accessories"/>
    <n v="615"/>
    <n v="2"/>
    <d v="2022-11-23T00:00:00"/>
    <n v="53"/>
    <s v="Male"/>
    <s v="Australia"/>
    <n v="1230"/>
  </r>
  <r>
    <n v="184"/>
    <x v="24"/>
    <n v="7"/>
    <x v="9"/>
    <s v="Electronics"/>
    <n v="614"/>
    <n v="4"/>
    <d v="2022-08-05T00:00:00"/>
    <n v="43"/>
    <s v="Female"/>
    <s v="Canada"/>
    <n v="2456"/>
  </r>
  <r>
    <n v="185"/>
    <x v="99"/>
    <n v="21"/>
    <x v="1"/>
    <s v="Electronics"/>
    <n v="141"/>
    <n v="3"/>
    <d v="2022-10-28T00:00:00"/>
    <n v="60"/>
    <s v="Female"/>
    <s v="Germany"/>
    <n v="423"/>
  </r>
  <r>
    <n v="186"/>
    <x v="105"/>
    <n v="42"/>
    <x v="6"/>
    <s v="Accessories"/>
    <n v="130"/>
    <n v="4"/>
    <d v="2022-05-12T00:00:00"/>
    <n v="44"/>
    <s v="Male"/>
    <s v="Australia"/>
    <n v="520"/>
  </r>
  <r>
    <n v="187"/>
    <x v="111"/>
    <n v="26"/>
    <x v="6"/>
    <s v="Electronics"/>
    <n v="752"/>
    <n v="3"/>
    <d v="2022-10-19T00:00:00"/>
    <n v="22"/>
    <s v="Male"/>
    <s v="Australia"/>
    <n v="2256"/>
  </r>
  <r>
    <n v="188"/>
    <x v="112"/>
    <n v="44"/>
    <x v="2"/>
    <s v="Clothing"/>
    <n v="558"/>
    <n v="3"/>
    <d v="2022-03-11T00:00:00"/>
    <n v="37"/>
    <s v="Female"/>
    <s v="Canada"/>
    <n v="1674"/>
  </r>
  <r>
    <n v="189"/>
    <x v="38"/>
    <n v="14"/>
    <x v="4"/>
    <s v="Accessories"/>
    <n v="477"/>
    <n v="4"/>
    <d v="2022-09-09T00:00:00"/>
    <n v="28"/>
    <s v="Male"/>
    <s v="France"/>
    <n v="1908"/>
  </r>
  <r>
    <n v="190"/>
    <x v="49"/>
    <n v="37"/>
    <x v="0"/>
    <s v="Electronics"/>
    <n v="319"/>
    <n v="3"/>
    <d v="2022-10-02T00:00:00"/>
    <n v="27"/>
    <s v="Male"/>
    <s v="France"/>
    <n v="957"/>
  </r>
  <r>
    <n v="191"/>
    <x v="41"/>
    <n v="21"/>
    <x v="9"/>
    <s v="Clothing"/>
    <n v="251"/>
    <n v="1"/>
    <d v="2022-12-30T00:00:00"/>
    <n v="57"/>
    <s v="Male"/>
    <s v="Australia"/>
    <n v="251"/>
  </r>
  <r>
    <n v="192"/>
    <x v="105"/>
    <n v="18"/>
    <x v="2"/>
    <s v="Accessories"/>
    <n v="102"/>
    <n v="3"/>
    <d v="2022-07-01T00:00:00"/>
    <n v="55"/>
    <s v="Female"/>
    <s v="France"/>
    <n v="306"/>
  </r>
  <r>
    <n v="193"/>
    <x v="113"/>
    <n v="5"/>
    <x v="3"/>
    <s v="Accessories"/>
    <n v="141"/>
    <n v="2"/>
    <d v="2022-06-16T00:00:00"/>
    <n v="23"/>
    <s v="Female"/>
    <s v="USA"/>
    <n v="282"/>
  </r>
  <r>
    <n v="194"/>
    <x v="29"/>
    <n v="3"/>
    <x v="8"/>
    <s v="Clothing"/>
    <n v="751"/>
    <n v="4"/>
    <d v="2022-04-01T00:00:00"/>
    <n v="25"/>
    <s v="Male"/>
    <s v="Australia"/>
    <n v="3004"/>
  </r>
  <r>
    <n v="195"/>
    <x v="98"/>
    <n v="23"/>
    <x v="5"/>
    <s v="Clothing"/>
    <n v="320"/>
    <n v="1"/>
    <d v="2022-07-21T00:00:00"/>
    <n v="40"/>
    <s v="Female"/>
    <s v="Australia"/>
    <n v="320"/>
  </r>
  <r>
    <n v="196"/>
    <x v="26"/>
    <n v="26"/>
    <x v="0"/>
    <s v="Accessories"/>
    <n v="395"/>
    <n v="4"/>
    <d v="2022-12-12T00:00:00"/>
    <n v="64"/>
    <s v="Male"/>
    <s v="Germany"/>
    <n v="1580"/>
  </r>
  <r>
    <n v="197"/>
    <x v="70"/>
    <n v="37"/>
    <x v="4"/>
    <s v="Accessories"/>
    <n v="779"/>
    <n v="2"/>
    <d v="2022-01-19T00:00:00"/>
    <n v="43"/>
    <s v="Female"/>
    <s v="France"/>
    <n v="1558"/>
  </r>
  <r>
    <n v="198"/>
    <x v="31"/>
    <n v="24"/>
    <x v="1"/>
    <s v="Accessories"/>
    <n v="947"/>
    <n v="2"/>
    <d v="2022-02-08T00:00:00"/>
    <n v="63"/>
    <s v="Male"/>
    <s v="Australia"/>
    <n v="1894"/>
  </r>
  <r>
    <n v="199"/>
    <x v="114"/>
    <n v="49"/>
    <x v="0"/>
    <s v="Accessories"/>
    <n v="826"/>
    <n v="2"/>
    <d v="2022-05-06T00:00:00"/>
    <n v="60"/>
    <s v="Male"/>
    <s v="USA"/>
    <n v="1652"/>
  </r>
  <r>
    <n v="200"/>
    <x v="115"/>
    <n v="19"/>
    <x v="7"/>
    <s v="Clothing"/>
    <n v="437"/>
    <n v="3"/>
    <d v="2022-06-22T00:00:00"/>
    <n v="29"/>
    <s v="Female"/>
    <s v="Germany"/>
    <n v="1311"/>
  </r>
  <r>
    <n v="201"/>
    <x v="74"/>
    <n v="25"/>
    <x v="4"/>
    <s v="Clothing"/>
    <n v="526"/>
    <n v="3"/>
    <d v="2022-05-21T00:00:00"/>
    <n v="43"/>
    <s v="Male"/>
    <s v="Canada"/>
    <n v="1578"/>
  </r>
  <r>
    <n v="202"/>
    <x v="111"/>
    <n v="21"/>
    <x v="8"/>
    <s v="Accessories"/>
    <n v="871"/>
    <n v="4"/>
    <d v="2022-08-30T00:00:00"/>
    <n v="30"/>
    <s v="Female"/>
    <s v="Australia"/>
    <n v="3484"/>
  </r>
  <r>
    <n v="203"/>
    <x v="62"/>
    <n v="12"/>
    <x v="7"/>
    <s v="Clothing"/>
    <n v="558"/>
    <n v="4"/>
    <d v="2022-08-08T00:00:00"/>
    <n v="57"/>
    <s v="Female"/>
    <s v="USA"/>
    <n v="2232"/>
  </r>
  <r>
    <n v="204"/>
    <x v="9"/>
    <n v="41"/>
    <x v="0"/>
    <s v="Clothing"/>
    <n v="130"/>
    <n v="1"/>
    <d v="2022-05-06T00:00:00"/>
    <n v="35"/>
    <s v="Male"/>
    <s v="UK"/>
    <n v="130"/>
  </r>
  <r>
    <n v="205"/>
    <x v="103"/>
    <n v="33"/>
    <x v="5"/>
    <s v="Clothing"/>
    <n v="615"/>
    <n v="1"/>
    <d v="2022-02-27T00:00:00"/>
    <n v="42"/>
    <s v="Male"/>
    <s v="USA"/>
    <n v="615"/>
  </r>
  <r>
    <n v="206"/>
    <x v="18"/>
    <n v="50"/>
    <x v="5"/>
    <s v="Electronics"/>
    <n v="102"/>
    <n v="4"/>
    <d v="2022-05-28T00:00:00"/>
    <n v="50"/>
    <s v="Female"/>
    <s v="USA"/>
    <n v="408"/>
  </r>
  <r>
    <n v="207"/>
    <x v="44"/>
    <n v="4"/>
    <x v="8"/>
    <s v="Accessories"/>
    <n v="439"/>
    <n v="3"/>
    <d v="2022-11-13T00:00:00"/>
    <n v="64"/>
    <s v="Male"/>
    <s v="Germany"/>
    <n v="1317"/>
  </r>
  <r>
    <n v="208"/>
    <x v="116"/>
    <n v="42"/>
    <x v="6"/>
    <s v="Clothing"/>
    <n v="615"/>
    <n v="2"/>
    <d v="2022-12-27T00:00:00"/>
    <n v="57"/>
    <s v="Male"/>
    <s v="Canada"/>
    <n v="1230"/>
  </r>
  <r>
    <n v="209"/>
    <x v="99"/>
    <n v="7"/>
    <x v="9"/>
    <s v="Electronics"/>
    <n v="320"/>
    <n v="4"/>
    <d v="2022-01-01T00:00:00"/>
    <n v="60"/>
    <s v="Male"/>
    <s v="UK"/>
    <n v="1280"/>
  </r>
  <r>
    <n v="210"/>
    <x v="6"/>
    <n v="22"/>
    <x v="1"/>
    <s v="Clothing"/>
    <n v="912"/>
    <n v="1"/>
    <d v="2022-12-14T00:00:00"/>
    <n v="29"/>
    <s v="Male"/>
    <s v="France"/>
    <n v="912"/>
  </r>
  <r>
    <n v="211"/>
    <x v="117"/>
    <n v="33"/>
    <x v="6"/>
    <s v="Clothing"/>
    <n v="605"/>
    <n v="3"/>
    <d v="2022-07-09T00:00:00"/>
    <n v="61"/>
    <s v="Male"/>
    <s v="France"/>
    <n v="1815"/>
  </r>
  <r>
    <n v="212"/>
    <x v="118"/>
    <n v="17"/>
    <x v="5"/>
    <s v="Electronics"/>
    <n v="871"/>
    <n v="4"/>
    <d v="2022-07-10T00:00:00"/>
    <n v="53"/>
    <s v="Female"/>
    <s v="USA"/>
    <n v="3484"/>
  </r>
  <r>
    <n v="213"/>
    <x v="45"/>
    <n v="24"/>
    <x v="5"/>
    <s v="Clothing"/>
    <n v="798"/>
    <n v="4"/>
    <d v="2022-11-08T00:00:00"/>
    <n v="21"/>
    <s v="Female"/>
    <s v="Germany"/>
    <n v="3192"/>
  </r>
  <r>
    <n v="214"/>
    <x v="44"/>
    <n v="34"/>
    <x v="3"/>
    <s v="Electronics"/>
    <n v="451"/>
    <n v="3"/>
    <d v="2022-04-27T00:00:00"/>
    <n v="22"/>
    <s v="Male"/>
    <s v="Germany"/>
    <n v="1353"/>
  </r>
  <r>
    <n v="215"/>
    <x v="85"/>
    <n v="28"/>
    <x v="7"/>
    <s v="Accessories"/>
    <n v="826"/>
    <n v="4"/>
    <d v="2022-05-14T00:00:00"/>
    <n v="54"/>
    <s v="Male"/>
    <s v="France"/>
    <n v="3304"/>
  </r>
  <r>
    <n v="216"/>
    <x v="62"/>
    <n v="43"/>
    <x v="0"/>
    <s v="Clothing"/>
    <n v="841"/>
    <n v="3"/>
    <d v="2022-02-27T00:00:00"/>
    <n v="25"/>
    <s v="Male"/>
    <s v="UK"/>
    <n v="2523"/>
  </r>
  <r>
    <n v="217"/>
    <x v="46"/>
    <n v="41"/>
    <x v="1"/>
    <s v="Clothing"/>
    <n v="798"/>
    <n v="2"/>
    <d v="2022-02-13T00:00:00"/>
    <n v="59"/>
    <s v="Female"/>
    <s v="Canada"/>
    <n v="1596"/>
  </r>
  <r>
    <n v="218"/>
    <x v="119"/>
    <n v="39"/>
    <x v="8"/>
    <s v="Accessories"/>
    <n v="947"/>
    <n v="3"/>
    <d v="2022-06-22T00:00:00"/>
    <n v="45"/>
    <s v="Male"/>
    <s v="UK"/>
    <n v="2841"/>
  </r>
  <r>
    <n v="219"/>
    <x v="104"/>
    <n v="22"/>
    <x v="0"/>
    <s v="Electronics"/>
    <n v="416"/>
    <n v="3"/>
    <d v="2022-06-09T00:00:00"/>
    <n v="48"/>
    <s v="Female"/>
    <s v="Australia"/>
    <n v="1248"/>
  </r>
  <r>
    <n v="220"/>
    <x v="120"/>
    <n v="49"/>
    <x v="3"/>
    <s v="Clothing"/>
    <n v="841"/>
    <n v="3"/>
    <d v="2022-06-22T00:00:00"/>
    <n v="26"/>
    <s v="Female"/>
    <s v="Australia"/>
    <n v="2523"/>
  </r>
  <r>
    <n v="221"/>
    <x v="45"/>
    <n v="17"/>
    <x v="5"/>
    <s v="Clothing"/>
    <n v="477"/>
    <n v="4"/>
    <d v="2022-11-13T00:00:00"/>
    <n v="46"/>
    <s v="Female"/>
    <s v="Canada"/>
    <n v="1908"/>
  </r>
  <r>
    <n v="222"/>
    <x v="121"/>
    <n v="34"/>
    <x v="8"/>
    <s v="Accessories"/>
    <n v="320"/>
    <n v="4"/>
    <d v="2022-10-30T00:00:00"/>
    <n v="31"/>
    <s v="Male"/>
    <s v="France"/>
    <n v="1280"/>
  </r>
  <r>
    <n v="223"/>
    <x v="7"/>
    <n v="6"/>
    <x v="5"/>
    <s v="Electronics"/>
    <n v="437"/>
    <n v="3"/>
    <d v="2022-05-29T00:00:00"/>
    <n v="57"/>
    <s v="Female"/>
    <s v="Canada"/>
    <n v="1311"/>
  </r>
  <r>
    <n v="224"/>
    <x v="122"/>
    <n v="46"/>
    <x v="1"/>
    <s v="Accessories"/>
    <n v="826"/>
    <n v="4"/>
    <d v="2022-03-21T00:00:00"/>
    <n v="58"/>
    <s v="Male"/>
    <s v="Germany"/>
    <n v="3304"/>
  </r>
  <r>
    <n v="225"/>
    <x v="123"/>
    <n v="6"/>
    <x v="7"/>
    <s v="Electronics"/>
    <n v="558"/>
    <n v="1"/>
    <d v="2022-08-01T00:00:00"/>
    <n v="39"/>
    <s v="Female"/>
    <s v="Australia"/>
    <n v="558"/>
  </r>
  <r>
    <n v="226"/>
    <x v="124"/>
    <n v="34"/>
    <x v="0"/>
    <s v="Electronics"/>
    <n v="320"/>
    <n v="1"/>
    <d v="2022-07-22T00:00:00"/>
    <n v="28"/>
    <s v="Male"/>
    <s v="USA"/>
    <n v="320"/>
  </r>
  <r>
    <n v="227"/>
    <x v="125"/>
    <n v="1"/>
    <x v="0"/>
    <s v="Accessories"/>
    <n v="477"/>
    <n v="4"/>
    <d v="2022-09-09T00:00:00"/>
    <n v="40"/>
    <s v="Female"/>
    <s v="USA"/>
    <n v="1908"/>
  </r>
  <r>
    <n v="228"/>
    <x v="126"/>
    <n v="10"/>
    <x v="6"/>
    <s v="Electronics"/>
    <n v="798"/>
    <n v="4"/>
    <d v="2022-08-17T00:00:00"/>
    <n v="18"/>
    <s v="Male"/>
    <s v="France"/>
    <n v="3192"/>
  </r>
  <r>
    <n v="229"/>
    <x v="127"/>
    <n v="21"/>
    <x v="8"/>
    <s v="Clothing"/>
    <n v="387"/>
    <n v="3"/>
    <d v="2022-06-13T00:00:00"/>
    <n v="63"/>
    <s v="Female"/>
    <s v="Germany"/>
    <n v="1161"/>
  </r>
  <r>
    <n v="230"/>
    <x v="49"/>
    <n v="5"/>
    <x v="9"/>
    <s v="Accessories"/>
    <n v="345"/>
    <n v="2"/>
    <d v="2022-08-15T00:00:00"/>
    <n v="54"/>
    <s v="Male"/>
    <s v="UK"/>
    <n v="690"/>
  </r>
  <r>
    <n v="231"/>
    <x v="37"/>
    <n v="2"/>
    <x v="3"/>
    <s v="Accessories"/>
    <n v="251"/>
    <n v="4"/>
    <d v="2022-05-27T00:00:00"/>
    <n v="38"/>
    <s v="Male"/>
    <s v="Germany"/>
    <n v="1004"/>
  </r>
  <r>
    <n v="232"/>
    <x v="128"/>
    <n v="22"/>
    <x v="9"/>
    <s v="Accessories"/>
    <n v="251"/>
    <n v="1"/>
    <d v="2022-01-20T00:00:00"/>
    <n v="43"/>
    <s v="Male"/>
    <s v="USA"/>
    <n v="251"/>
  </r>
  <r>
    <n v="233"/>
    <x v="66"/>
    <n v="48"/>
    <x v="6"/>
    <s v="Electronics"/>
    <n v="141"/>
    <n v="3"/>
    <d v="2022-02-16T00:00:00"/>
    <n v="63"/>
    <s v="Male"/>
    <s v="USA"/>
    <n v="423"/>
  </r>
  <r>
    <n v="234"/>
    <x v="75"/>
    <n v="2"/>
    <x v="1"/>
    <s v="Clothing"/>
    <n v="102"/>
    <n v="4"/>
    <d v="2022-08-21T00:00:00"/>
    <n v="53"/>
    <s v="Female"/>
    <s v="Australia"/>
    <n v="408"/>
  </r>
  <r>
    <n v="235"/>
    <x v="16"/>
    <n v="10"/>
    <x v="3"/>
    <s v="Accessories"/>
    <n v="511"/>
    <n v="1"/>
    <d v="2022-11-01T00:00:00"/>
    <n v="40"/>
    <s v="Female"/>
    <s v="Germany"/>
    <n v="511"/>
  </r>
  <r>
    <n v="236"/>
    <x v="100"/>
    <n v="34"/>
    <x v="7"/>
    <s v="Accessories"/>
    <n v="611"/>
    <n v="1"/>
    <d v="2022-01-14T00:00:00"/>
    <n v="18"/>
    <s v="Male"/>
    <s v="Germany"/>
    <n v="611"/>
  </r>
  <r>
    <n v="237"/>
    <x v="69"/>
    <n v="16"/>
    <x v="9"/>
    <s v="Accessories"/>
    <n v="558"/>
    <n v="2"/>
    <d v="2022-05-23T00:00:00"/>
    <n v="57"/>
    <s v="Female"/>
    <s v="USA"/>
    <n v="1116"/>
  </r>
  <r>
    <n v="238"/>
    <x v="34"/>
    <n v="48"/>
    <x v="7"/>
    <s v="Electronics"/>
    <n v="971"/>
    <n v="3"/>
    <d v="2022-01-01T00:00:00"/>
    <n v="32"/>
    <s v="Male"/>
    <s v="UK"/>
    <n v="2913"/>
  </r>
  <r>
    <n v="239"/>
    <x v="129"/>
    <n v="39"/>
    <x v="9"/>
    <s v="Accessories"/>
    <n v="752"/>
    <n v="3"/>
    <d v="2022-02-23T00:00:00"/>
    <n v="38"/>
    <s v="Male"/>
    <s v="France"/>
    <n v="2256"/>
  </r>
  <r>
    <n v="240"/>
    <x v="129"/>
    <n v="22"/>
    <x v="7"/>
    <s v="Clothing"/>
    <n v="971"/>
    <n v="2"/>
    <d v="2022-09-16T00:00:00"/>
    <n v="64"/>
    <s v="Female"/>
    <s v="France"/>
    <n v="1942"/>
  </r>
  <r>
    <n v="241"/>
    <x v="130"/>
    <n v="12"/>
    <x v="9"/>
    <s v="Electronics"/>
    <n v="865"/>
    <n v="2"/>
    <d v="2022-05-24T00:00:00"/>
    <n v="26"/>
    <s v="Male"/>
    <s v="Germany"/>
    <n v="1730"/>
  </r>
  <r>
    <n v="242"/>
    <x v="131"/>
    <n v="24"/>
    <x v="7"/>
    <s v="Electronics"/>
    <n v="439"/>
    <n v="3"/>
    <d v="2022-01-12T00:00:00"/>
    <n v="26"/>
    <s v="Male"/>
    <s v="France"/>
    <n v="1317"/>
  </r>
  <r>
    <n v="243"/>
    <x v="132"/>
    <n v="47"/>
    <x v="6"/>
    <s v="Accessories"/>
    <n v="871"/>
    <n v="3"/>
    <d v="2022-11-26T00:00:00"/>
    <n v="27"/>
    <s v="Female"/>
    <s v="USA"/>
    <n v="2613"/>
  </r>
  <r>
    <n v="244"/>
    <x v="95"/>
    <n v="40"/>
    <x v="4"/>
    <s v="Electronics"/>
    <n v="451"/>
    <n v="4"/>
    <d v="2022-08-12T00:00:00"/>
    <n v="43"/>
    <s v="Male"/>
    <s v="USA"/>
    <n v="1804"/>
  </r>
  <r>
    <n v="245"/>
    <x v="130"/>
    <n v="38"/>
    <x v="3"/>
    <s v="Clothing"/>
    <n v="928"/>
    <n v="4"/>
    <d v="2022-09-29T00:00:00"/>
    <n v="58"/>
    <s v="Male"/>
    <s v="Germany"/>
    <n v="3712"/>
  </r>
  <r>
    <n v="246"/>
    <x v="133"/>
    <n v="10"/>
    <x v="8"/>
    <s v="Clothing"/>
    <n v="130"/>
    <n v="2"/>
    <d v="2022-12-24T00:00:00"/>
    <n v="52"/>
    <s v="Male"/>
    <s v="Germany"/>
    <n v="260"/>
  </r>
  <r>
    <n v="247"/>
    <x v="134"/>
    <n v="35"/>
    <x v="1"/>
    <s v="Electronics"/>
    <n v="947"/>
    <n v="4"/>
    <d v="2022-06-05T00:00:00"/>
    <n v="42"/>
    <s v="Male"/>
    <s v="Australia"/>
    <n v="3788"/>
  </r>
  <r>
    <n v="248"/>
    <x v="134"/>
    <n v="49"/>
    <x v="2"/>
    <s v="Accessories"/>
    <n v="779"/>
    <n v="1"/>
    <d v="2022-01-08T00:00:00"/>
    <n v="43"/>
    <s v="Female"/>
    <s v="Germany"/>
    <n v="779"/>
  </r>
  <r>
    <n v="249"/>
    <x v="35"/>
    <n v="32"/>
    <x v="5"/>
    <s v="Electronics"/>
    <n v="477"/>
    <n v="4"/>
    <d v="2022-05-02T00:00:00"/>
    <n v="28"/>
    <s v="Female"/>
    <s v="UK"/>
    <n v="1908"/>
  </r>
  <r>
    <n v="250"/>
    <x v="133"/>
    <n v="7"/>
    <x v="8"/>
    <s v="Clothing"/>
    <n v="752"/>
    <n v="4"/>
    <d v="2022-12-14T00:00:00"/>
    <n v="55"/>
    <s v="Female"/>
    <s v="France"/>
    <n v="3008"/>
  </r>
  <r>
    <n v="251"/>
    <x v="96"/>
    <n v="21"/>
    <x v="5"/>
    <s v="Accessories"/>
    <n v="526"/>
    <n v="1"/>
    <d v="2022-06-13T00:00:00"/>
    <n v="19"/>
    <s v="Male"/>
    <s v="Germany"/>
    <n v="526"/>
  </r>
  <r>
    <n v="252"/>
    <x v="122"/>
    <n v="20"/>
    <x v="3"/>
    <s v="Clothing"/>
    <n v="437"/>
    <n v="2"/>
    <d v="2022-03-31T00:00:00"/>
    <n v="24"/>
    <s v="Male"/>
    <s v="Canada"/>
    <n v="874"/>
  </r>
  <r>
    <n v="253"/>
    <x v="135"/>
    <n v="26"/>
    <x v="8"/>
    <s v="Accessories"/>
    <n v="451"/>
    <n v="1"/>
    <d v="2022-05-16T00:00:00"/>
    <n v="35"/>
    <s v="Female"/>
    <s v="Australia"/>
    <n v="451"/>
  </r>
  <r>
    <n v="254"/>
    <x v="59"/>
    <n v="4"/>
    <x v="7"/>
    <s v="Electronics"/>
    <n v="611"/>
    <n v="4"/>
    <d v="2022-07-05T00:00:00"/>
    <n v="44"/>
    <s v="Male"/>
    <s v="Canada"/>
    <n v="2444"/>
  </r>
  <r>
    <n v="255"/>
    <x v="116"/>
    <n v="46"/>
    <x v="7"/>
    <s v="Electronics"/>
    <n v="774"/>
    <n v="2"/>
    <d v="2022-11-12T00:00:00"/>
    <n v="51"/>
    <s v="Male"/>
    <s v="USA"/>
    <n v="1548"/>
  </r>
  <r>
    <n v="256"/>
    <x v="136"/>
    <n v="22"/>
    <x v="2"/>
    <s v="Electronics"/>
    <n v="751"/>
    <n v="4"/>
    <d v="2022-06-27T00:00:00"/>
    <n v="44"/>
    <s v="Male"/>
    <s v="France"/>
    <n v="3004"/>
  </r>
  <r>
    <n v="257"/>
    <x v="16"/>
    <n v="15"/>
    <x v="5"/>
    <s v="Electronics"/>
    <n v="345"/>
    <n v="1"/>
    <d v="2022-01-28T00:00:00"/>
    <n v="34"/>
    <s v="Male"/>
    <s v="Germany"/>
    <n v="345"/>
  </r>
  <r>
    <n v="258"/>
    <x v="137"/>
    <n v="40"/>
    <x v="1"/>
    <s v="Accessories"/>
    <n v="971"/>
    <n v="1"/>
    <d v="2022-08-08T00:00:00"/>
    <n v="60"/>
    <s v="Female"/>
    <s v="Canada"/>
    <n v="971"/>
  </r>
  <r>
    <n v="259"/>
    <x v="74"/>
    <n v="21"/>
    <x v="3"/>
    <s v="Accessories"/>
    <n v="51"/>
    <n v="4"/>
    <d v="2022-12-23T00:00:00"/>
    <n v="61"/>
    <s v="Female"/>
    <s v="France"/>
    <n v="204"/>
  </r>
  <r>
    <n v="260"/>
    <x v="101"/>
    <n v="15"/>
    <x v="7"/>
    <s v="Electronics"/>
    <n v="798"/>
    <n v="3"/>
    <d v="2022-02-10T00:00:00"/>
    <n v="41"/>
    <s v="Female"/>
    <s v="USA"/>
    <n v="2394"/>
  </r>
  <r>
    <n v="261"/>
    <x v="5"/>
    <n v="22"/>
    <x v="4"/>
    <s v="Electronics"/>
    <n v="301"/>
    <n v="3"/>
    <d v="2022-08-16T00:00:00"/>
    <n v="42"/>
    <s v="Male"/>
    <s v="UK"/>
    <n v="903"/>
  </r>
  <r>
    <n v="262"/>
    <x v="56"/>
    <n v="28"/>
    <x v="6"/>
    <s v="Accessories"/>
    <n v="776"/>
    <n v="1"/>
    <d v="2022-07-11T00:00:00"/>
    <n v="24"/>
    <s v="Female"/>
    <s v="Australia"/>
    <n v="776"/>
  </r>
  <r>
    <n v="263"/>
    <x v="138"/>
    <n v="14"/>
    <x v="6"/>
    <s v="Accessories"/>
    <n v="841"/>
    <n v="1"/>
    <d v="2022-05-25T00:00:00"/>
    <n v="23"/>
    <s v="Female"/>
    <s v="France"/>
    <n v="841"/>
  </r>
  <r>
    <n v="264"/>
    <x v="139"/>
    <n v="27"/>
    <x v="9"/>
    <s v="Accessories"/>
    <n v="155"/>
    <n v="3"/>
    <d v="2022-07-20T00:00:00"/>
    <n v="41"/>
    <s v="Male"/>
    <s v="France"/>
    <n v="465"/>
  </r>
  <r>
    <n v="265"/>
    <x v="45"/>
    <n v="41"/>
    <x v="1"/>
    <s v="Electronics"/>
    <n v="928"/>
    <n v="3"/>
    <d v="2022-07-31T00:00:00"/>
    <n v="50"/>
    <s v="Male"/>
    <s v="UK"/>
    <n v="2784"/>
  </r>
  <r>
    <n v="266"/>
    <x v="136"/>
    <n v="40"/>
    <x v="6"/>
    <s v="Clothing"/>
    <n v="251"/>
    <n v="4"/>
    <d v="2022-08-08T00:00:00"/>
    <n v="46"/>
    <s v="Female"/>
    <s v="France"/>
    <n v="1004"/>
  </r>
  <r>
    <n v="267"/>
    <x v="49"/>
    <n v="28"/>
    <x v="9"/>
    <s v="Clothing"/>
    <n v="928"/>
    <n v="4"/>
    <d v="2022-08-28T00:00:00"/>
    <n v="60"/>
    <s v="Female"/>
    <s v="USA"/>
    <n v="3712"/>
  </r>
  <r>
    <n v="268"/>
    <x v="113"/>
    <n v="26"/>
    <x v="5"/>
    <s v="Clothing"/>
    <n v="319"/>
    <n v="3"/>
    <d v="2022-02-15T00:00:00"/>
    <n v="39"/>
    <s v="Female"/>
    <s v="USA"/>
    <n v="957"/>
  </r>
  <r>
    <n v="269"/>
    <x v="49"/>
    <n v="49"/>
    <x v="7"/>
    <s v="Accessories"/>
    <n v="387"/>
    <n v="4"/>
    <d v="2022-02-04T00:00:00"/>
    <n v="43"/>
    <s v="Female"/>
    <s v="UK"/>
    <n v="1548"/>
  </r>
  <r>
    <n v="270"/>
    <x v="8"/>
    <n v="2"/>
    <x v="7"/>
    <s v="Clothing"/>
    <n v="389"/>
    <n v="4"/>
    <d v="2022-09-10T00:00:00"/>
    <n v="45"/>
    <s v="Male"/>
    <s v="Australia"/>
    <n v="1556"/>
  </r>
  <r>
    <n v="271"/>
    <x v="54"/>
    <n v="25"/>
    <x v="4"/>
    <s v="Electronics"/>
    <n v="774"/>
    <n v="2"/>
    <d v="2022-03-23T00:00:00"/>
    <n v="38"/>
    <s v="Female"/>
    <s v="Germany"/>
    <n v="1548"/>
  </r>
  <r>
    <n v="272"/>
    <x v="140"/>
    <n v="3"/>
    <x v="8"/>
    <s v="Electronics"/>
    <n v="102"/>
    <n v="4"/>
    <d v="2022-09-13T00:00:00"/>
    <n v="24"/>
    <s v="Female"/>
    <s v="Canada"/>
    <n v="408"/>
  </r>
  <r>
    <n v="273"/>
    <x v="23"/>
    <n v="8"/>
    <x v="6"/>
    <s v="Accessories"/>
    <n v="912"/>
    <n v="1"/>
    <d v="2022-07-16T00:00:00"/>
    <n v="34"/>
    <s v="Male"/>
    <s v="Germany"/>
    <n v="912"/>
  </r>
  <r>
    <n v="274"/>
    <x v="138"/>
    <n v="44"/>
    <x v="5"/>
    <s v="Electronics"/>
    <n v="301"/>
    <n v="4"/>
    <d v="2022-10-30T00:00:00"/>
    <n v="37"/>
    <s v="Female"/>
    <s v="France"/>
    <n v="1204"/>
  </r>
  <r>
    <n v="275"/>
    <x v="78"/>
    <n v="33"/>
    <x v="0"/>
    <s v="Accessories"/>
    <n v="825"/>
    <n v="4"/>
    <d v="2022-01-10T00:00:00"/>
    <n v="58"/>
    <s v="Male"/>
    <s v="Canada"/>
    <n v="3300"/>
  </r>
  <r>
    <n v="276"/>
    <x v="42"/>
    <n v="42"/>
    <x v="6"/>
    <s v="Clothing"/>
    <n v="971"/>
    <n v="3"/>
    <d v="2022-11-08T00:00:00"/>
    <n v="37"/>
    <s v="Male"/>
    <s v="UK"/>
    <n v="2913"/>
  </r>
  <r>
    <n v="277"/>
    <x v="141"/>
    <n v="35"/>
    <x v="1"/>
    <s v="Clothing"/>
    <n v="614"/>
    <n v="1"/>
    <d v="2022-10-13T00:00:00"/>
    <n v="39"/>
    <s v="Male"/>
    <s v="UK"/>
    <n v="614"/>
  </r>
  <r>
    <n v="278"/>
    <x v="97"/>
    <n v="6"/>
    <x v="8"/>
    <s v="Accessories"/>
    <n v="319"/>
    <n v="4"/>
    <d v="2022-08-30T00:00:00"/>
    <n v="45"/>
    <s v="Female"/>
    <s v="Australia"/>
    <n v="1276"/>
  </r>
  <r>
    <n v="279"/>
    <x v="98"/>
    <n v="39"/>
    <x v="6"/>
    <s v="Accessories"/>
    <n v="825"/>
    <n v="4"/>
    <d v="2022-09-08T00:00:00"/>
    <n v="57"/>
    <s v="Female"/>
    <s v="Canada"/>
    <n v="3300"/>
  </r>
  <r>
    <n v="280"/>
    <x v="6"/>
    <n v="23"/>
    <x v="5"/>
    <s v="Electronics"/>
    <n v="981"/>
    <n v="2"/>
    <d v="2022-12-31T00:00:00"/>
    <n v="24"/>
    <s v="Male"/>
    <s v="USA"/>
    <n v="1962"/>
  </r>
  <r>
    <n v="281"/>
    <x v="35"/>
    <n v="25"/>
    <x v="6"/>
    <s v="Electronics"/>
    <n v="921"/>
    <n v="4"/>
    <d v="2022-01-05T00:00:00"/>
    <n v="18"/>
    <s v="Female"/>
    <s v="Canada"/>
    <n v="3684"/>
  </r>
  <r>
    <n v="282"/>
    <x v="26"/>
    <n v="50"/>
    <x v="1"/>
    <s v="Clothing"/>
    <n v="605"/>
    <n v="4"/>
    <d v="2022-04-29T00:00:00"/>
    <n v="49"/>
    <s v="Female"/>
    <s v="France"/>
    <n v="2420"/>
  </r>
  <r>
    <n v="283"/>
    <x v="142"/>
    <n v="43"/>
    <x v="0"/>
    <s v="Clothing"/>
    <n v="102"/>
    <n v="2"/>
    <d v="2022-10-16T00:00:00"/>
    <n v="30"/>
    <s v="Male"/>
    <s v="USA"/>
    <n v="204"/>
  </r>
  <r>
    <n v="284"/>
    <x v="116"/>
    <n v="19"/>
    <x v="3"/>
    <s v="Electronics"/>
    <n v="558"/>
    <n v="3"/>
    <d v="2022-03-06T00:00:00"/>
    <n v="47"/>
    <s v="Male"/>
    <s v="UK"/>
    <n v="1674"/>
  </r>
  <r>
    <n v="285"/>
    <x v="49"/>
    <n v="5"/>
    <x v="2"/>
    <s v="Accessories"/>
    <n v="921"/>
    <n v="4"/>
    <d v="2022-05-26T00:00:00"/>
    <n v="40"/>
    <s v="Female"/>
    <s v="Canada"/>
    <n v="3684"/>
  </r>
  <r>
    <n v="286"/>
    <x v="134"/>
    <n v="11"/>
    <x v="0"/>
    <s v="Clothing"/>
    <n v="511"/>
    <n v="2"/>
    <d v="2022-08-12T00:00:00"/>
    <n v="36"/>
    <s v="Male"/>
    <s v="Germany"/>
    <n v="1022"/>
  </r>
  <r>
    <n v="287"/>
    <x v="139"/>
    <n v="12"/>
    <x v="9"/>
    <s v="Accessories"/>
    <n v="437"/>
    <n v="1"/>
    <d v="2022-08-27T00:00:00"/>
    <n v="49"/>
    <s v="Female"/>
    <s v="Australia"/>
    <n v="437"/>
  </r>
  <r>
    <n v="288"/>
    <x v="112"/>
    <n v="10"/>
    <x v="6"/>
    <s v="Accessories"/>
    <n v="320"/>
    <n v="3"/>
    <d v="2022-06-26T00:00:00"/>
    <n v="47"/>
    <s v="Female"/>
    <s v="Germany"/>
    <n v="960"/>
  </r>
  <r>
    <n v="289"/>
    <x v="143"/>
    <n v="8"/>
    <x v="7"/>
    <s v="Clothing"/>
    <n v="84"/>
    <n v="1"/>
    <d v="2022-09-24T00:00:00"/>
    <n v="46"/>
    <s v="Female"/>
    <s v="Australia"/>
    <n v="84"/>
  </r>
  <r>
    <n v="290"/>
    <x v="41"/>
    <n v="24"/>
    <x v="4"/>
    <s v="Clothing"/>
    <n v="387"/>
    <n v="1"/>
    <d v="2022-12-07T00:00:00"/>
    <n v="62"/>
    <s v="Female"/>
    <s v="France"/>
    <n v="387"/>
  </r>
  <r>
    <n v="291"/>
    <x v="144"/>
    <n v="28"/>
    <x v="7"/>
    <s v="Accessories"/>
    <n v="614"/>
    <n v="2"/>
    <d v="2022-10-09T00:00:00"/>
    <n v="46"/>
    <s v="Male"/>
    <s v="Germany"/>
    <n v="1228"/>
  </r>
  <r>
    <n v="292"/>
    <x v="134"/>
    <n v="41"/>
    <x v="0"/>
    <s v="Accessories"/>
    <n v="558"/>
    <n v="4"/>
    <d v="2022-03-04T00:00:00"/>
    <n v="47"/>
    <s v="Male"/>
    <s v="Canada"/>
    <n v="2232"/>
  </r>
  <r>
    <n v="293"/>
    <x v="145"/>
    <n v="36"/>
    <x v="7"/>
    <s v="Accessories"/>
    <n v="511"/>
    <n v="2"/>
    <d v="2022-08-05T00:00:00"/>
    <n v="33"/>
    <s v="Male"/>
    <s v="Canada"/>
    <n v="1022"/>
  </r>
  <r>
    <n v="294"/>
    <x v="97"/>
    <n v="37"/>
    <x v="5"/>
    <s v="Electronics"/>
    <n v="826"/>
    <n v="2"/>
    <d v="2022-12-08T00:00:00"/>
    <n v="57"/>
    <s v="Male"/>
    <s v="Germany"/>
    <n v="1652"/>
  </r>
  <r>
    <n v="295"/>
    <x v="91"/>
    <n v="21"/>
    <x v="7"/>
    <s v="Clothing"/>
    <n v="752"/>
    <n v="2"/>
    <d v="2022-11-11T00:00:00"/>
    <n v="36"/>
    <s v="Female"/>
    <s v="Canada"/>
    <n v="1504"/>
  </r>
  <r>
    <n v="296"/>
    <x v="146"/>
    <n v="8"/>
    <x v="8"/>
    <s v="Clothing"/>
    <n v="387"/>
    <n v="2"/>
    <d v="2022-10-10T00:00:00"/>
    <n v="35"/>
    <s v="Female"/>
    <s v="France"/>
    <n v="774"/>
  </r>
  <r>
    <n v="297"/>
    <x v="96"/>
    <n v="9"/>
    <x v="3"/>
    <s v="Clothing"/>
    <n v="504"/>
    <n v="3"/>
    <d v="2022-06-26T00:00:00"/>
    <n v="18"/>
    <s v="Male"/>
    <s v="USA"/>
    <n v="1512"/>
  </r>
  <r>
    <n v="298"/>
    <x v="20"/>
    <n v="47"/>
    <x v="6"/>
    <s v="Clothing"/>
    <n v="387"/>
    <n v="4"/>
    <d v="2022-04-08T00:00:00"/>
    <n v="31"/>
    <s v="Female"/>
    <s v="France"/>
    <n v="1548"/>
  </r>
  <r>
    <n v="299"/>
    <x v="147"/>
    <n v="15"/>
    <x v="7"/>
    <s v="Electronics"/>
    <n v="345"/>
    <n v="1"/>
    <d v="2022-04-15T00:00:00"/>
    <n v="64"/>
    <s v="Female"/>
    <s v="Australia"/>
    <n v="345"/>
  </r>
  <r>
    <n v="300"/>
    <x v="20"/>
    <n v="48"/>
    <x v="1"/>
    <s v="Accessories"/>
    <n v="611"/>
    <n v="1"/>
    <d v="2022-04-09T00:00:00"/>
    <n v="19"/>
    <s v="Female"/>
    <s v="France"/>
    <n v="611"/>
  </r>
  <r>
    <n v="301"/>
    <x v="111"/>
    <n v="46"/>
    <x v="3"/>
    <s v="Electronics"/>
    <n v="477"/>
    <n v="4"/>
    <d v="2022-11-07T00:00:00"/>
    <n v="45"/>
    <s v="Male"/>
    <s v="Australia"/>
    <n v="1908"/>
  </r>
  <r>
    <n v="302"/>
    <x v="148"/>
    <n v="40"/>
    <x v="3"/>
    <s v="Electronics"/>
    <n v="141"/>
    <n v="1"/>
    <d v="2022-01-06T00:00:00"/>
    <n v="47"/>
    <s v="Male"/>
    <s v="Canada"/>
    <n v="141"/>
  </r>
  <r>
    <n v="303"/>
    <x v="88"/>
    <n v="18"/>
    <x v="7"/>
    <s v="Accessories"/>
    <n v="774"/>
    <n v="4"/>
    <d v="2022-07-16T00:00:00"/>
    <n v="55"/>
    <s v="Male"/>
    <s v="USA"/>
    <n v="3096"/>
  </r>
  <r>
    <n v="304"/>
    <x v="149"/>
    <n v="42"/>
    <x v="3"/>
    <s v="Accessories"/>
    <n v="871"/>
    <n v="1"/>
    <d v="2022-12-17T00:00:00"/>
    <n v="21"/>
    <s v="Female"/>
    <s v="Canada"/>
    <n v="871"/>
  </r>
  <r>
    <n v="305"/>
    <x v="132"/>
    <n v="20"/>
    <x v="4"/>
    <s v="Accessories"/>
    <n v="776"/>
    <n v="2"/>
    <d v="2022-05-13T00:00:00"/>
    <n v="18"/>
    <s v="Male"/>
    <s v="UK"/>
    <n v="1552"/>
  </r>
  <r>
    <n v="306"/>
    <x v="140"/>
    <n v="6"/>
    <x v="7"/>
    <s v="Clothing"/>
    <n v="841"/>
    <n v="1"/>
    <d v="2022-12-24T00:00:00"/>
    <n v="25"/>
    <s v="Male"/>
    <s v="Canada"/>
    <n v="841"/>
  </r>
  <r>
    <n v="307"/>
    <x v="126"/>
    <n v="12"/>
    <x v="5"/>
    <s v="Accessories"/>
    <n v="451"/>
    <n v="4"/>
    <d v="2022-09-16T00:00:00"/>
    <n v="46"/>
    <s v="Male"/>
    <s v="Australia"/>
    <n v="1804"/>
  </r>
  <r>
    <n v="308"/>
    <x v="24"/>
    <n v="2"/>
    <x v="0"/>
    <s v="Accessories"/>
    <n v="319"/>
    <n v="4"/>
    <d v="2022-01-23T00:00:00"/>
    <n v="56"/>
    <s v="Male"/>
    <s v="Canada"/>
    <n v="1276"/>
  </r>
  <r>
    <n v="309"/>
    <x v="150"/>
    <n v="7"/>
    <x v="8"/>
    <s v="Accessories"/>
    <n v="505"/>
    <n v="4"/>
    <d v="2022-02-22T00:00:00"/>
    <n v="20"/>
    <s v="Male"/>
    <s v="Canada"/>
    <n v="2020"/>
  </r>
  <r>
    <n v="310"/>
    <x v="45"/>
    <n v="16"/>
    <x v="2"/>
    <s v="Accessories"/>
    <n v="477"/>
    <n v="4"/>
    <d v="2022-06-14T00:00:00"/>
    <n v="49"/>
    <s v="Male"/>
    <s v="USA"/>
    <n v="1908"/>
  </r>
  <r>
    <n v="311"/>
    <x v="44"/>
    <n v="3"/>
    <x v="9"/>
    <s v="Accessories"/>
    <n v="921"/>
    <n v="4"/>
    <d v="2022-07-21T00:00:00"/>
    <n v="27"/>
    <s v="Female"/>
    <s v="Canada"/>
    <n v="3684"/>
  </r>
  <r>
    <n v="312"/>
    <x v="151"/>
    <n v="45"/>
    <x v="3"/>
    <s v="Electronics"/>
    <n v="439"/>
    <n v="3"/>
    <d v="2022-03-24T00:00:00"/>
    <n v="27"/>
    <s v="Female"/>
    <s v="USA"/>
    <n v="1317"/>
  </r>
  <r>
    <n v="313"/>
    <x v="152"/>
    <n v="3"/>
    <x v="5"/>
    <s v="Clothing"/>
    <n v="395"/>
    <n v="3"/>
    <d v="2022-05-25T00:00:00"/>
    <n v="36"/>
    <s v="Male"/>
    <s v="Germany"/>
    <n v="1185"/>
  </r>
  <r>
    <n v="314"/>
    <x v="34"/>
    <n v="27"/>
    <x v="6"/>
    <s v="Accessories"/>
    <n v="774"/>
    <n v="1"/>
    <d v="2022-03-26T00:00:00"/>
    <n v="63"/>
    <s v="Male"/>
    <s v="UK"/>
    <n v="774"/>
  </r>
  <r>
    <n v="315"/>
    <x v="104"/>
    <n v="50"/>
    <x v="6"/>
    <s v="Accessories"/>
    <n v="511"/>
    <n v="4"/>
    <d v="2022-03-19T00:00:00"/>
    <n v="51"/>
    <s v="Female"/>
    <s v="USA"/>
    <n v="2044"/>
  </r>
  <r>
    <n v="316"/>
    <x v="54"/>
    <n v="43"/>
    <x v="9"/>
    <s v="Electronics"/>
    <n v="301"/>
    <n v="1"/>
    <d v="2022-01-01T00:00:00"/>
    <n v="50"/>
    <s v="Female"/>
    <s v="Australia"/>
    <n v="301"/>
  </r>
  <r>
    <n v="317"/>
    <x v="26"/>
    <n v="40"/>
    <x v="8"/>
    <s v="Clothing"/>
    <n v="320"/>
    <n v="4"/>
    <d v="2022-02-20T00:00:00"/>
    <n v="40"/>
    <s v="Male"/>
    <s v="Germany"/>
    <n v="1280"/>
  </r>
  <r>
    <n v="318"/>
    <x v="147"/>
    <n v="38"/>
    <x v="3"/>
    <s v="Electronics"/>
    <n v="971"/>
    <n v="4"/>
    <d v="2022-06-22T00:00:00"/>
    <n v="45"/>
    <s v="Male"/>
    <s v="USA"/>
    <n v="3884"/>
  </r>
  <r>
    <n v="319"/>
    <x v="153"/>
    <n v="33"/>
    <x v="4"/>
    <s v="Electronics"/>
    <n v="774"/>
    <n v="3"/>
    <d v="2022-07-24T00:00:00"/>
    <n v="49"/>
    <s v="Male"/>
    <s v="USA"/>
    <n v="2322"/>
  </r>
  <r>
    <n v="320"/>
    <x v="144"/>
    <n v="28"/>
    <x v="9"/>
    <s v="Electronics"/>
    <n v="505"/>
    <n v="3"/>
    <d v="2022-09-17T00:00:00"/>
    <n v="24"/>
    <s v="Male"/>
    <s v="UK"/>
    <n v="1515"/>
  </r>
  <r>
    <n v="321"/>
    <x v="50"/>
    <n v="1"/>
    <x v="8"/>
    <s v="Accessories"/>
    <n v="130"/>
    <n v="2"/>
    <d v="2022-10-15T00:00:00"/>
    <n v="46"/>
    <s v="Female"/>
    <s v="Australia"/>
    <n v="260"/>
  </r>
  <r>
    <n v="322"/>
    <x v="154"/>
    <n v="8"/>
    <x v="3"/>
    <s v="Electronics"/>
    <n v="451"/>
    <n v="3"/>
    <d v="2022-02-03T00:00:00"/>
    <n v="25"/>
    <s v="Male"/>
    <s v="France"/>
    <n v="1353"/>
  </r>
  <r>
    <n v="323"/>
    <x v="51"/>
    <n v="37"/>
    <x v="5"/>
    <s v="Accessories"/>
    <n v="921"/>
    <n v="2"/>
    <d v="2022-12-14T00:00:00"/>
    <n v="18"/>
    <s v="Male"/>
    <s v="France"/>
    <n v="1842"/>
  </r>
  <r>
    <n v="324"/>
    <x v="155"/>
    <n v="32"/>
    <x v="0"/>
    <s v="Accessories"/>
    <n v="912"/>
    <n v="2"/>
    <d v="2022-04-05T00:00:00"/>
    <n v="20"/>
    <s v="Male"/>
    <s v="USA"/>
    <n v="1824"/>
  </r>
  <r>
    <n v="325"/>
    <x v="113"/>
    <n v="48"/>
    <x v="4"/>
    <s v="Electronics"/>
    <n v="615"/>
    <n v="2"/>
    <d v="2022-03-13T00:00:00"/>
    <n v="41"/>
    <s v="Male"/>
    <s v="Canada"/>
    <n v="1230"/>
  </r>
  <r>
    <n v="326"/>
    <x v="71"/>
    <n v="43"/>
    <x v="2"/>
    <s v="Electronics"/>
    <n v="825"/>
    <n v="2"/>
    <d v="2022-02-08T00:00:00"/>
    <n v="40"/>
    <s v="Female"/>
    <s v="Australia"/>
    <n v="1650"/>
  </r>
  <r>
    <n v="327"/>
    <x v="26"/>
    <n v="37"/>
    <x v="6"/>
    <s v="Electronics"/>
    <n v="84"/>
    <n v="2"/>
    <d v="2022-06-03T00:00:00"/>
    <n v="25"/>
    <s v="Female"/>
    <s v="Germany"/>
    <n v="168"/>
  </r>
  <r>
    <n v="328"/>
    <x v="156"/>
    <n v="4"/>
    <x v="1"/>
    <s v="Accessories"/>
    <n v="947"/>
    <n v="1"/>
    <d v="2022-09-07T00:00:00"/>
    <n v="64"/>
    <s v="Female"/>
    <s v="Canada"/>
    <n v="947"/>
  </r>
  <r>
    <n v="329"/>
    <x v="157"/>
    <n v="30"/>
    <x v="5"/>
    <s v="Clothing"/>
    <n v="615"/>
    <n v="3"/>
    <d v="2022-06-11T00:00:00"/>
    <n v="54"/>
    <s v="Male"/>
    <s v="Canada"/>
    <n v="1845"/>
  </r>
  <r>
    <n v="330"/>
    <x v="98"/>
    <n v="6"/>
    <x v="6"/>
    <s v="Accessories"/>
    <n v="416"/>
    <n v="2"/>
    <d v="2022-04-28T00:00:00"/>
    <n v="20"/>
    <s v="Male"/>
    <s v="Australia"/>
    <n v="832"/>
  </r>
  <r>
    <n v="331"/>
    <x v="158"/>
    <n v="46"/>
    <x v="7"/>
    <s v="Electronics"/>
    <n v="774"/>
    <n v="4"/>
    <d v="2022-09-16T00:00:00"/>
    <n v="50"/>
    <s v="Female"/>
    <s v="USA"/>
    <n v="3096"/>
  </r>
  <r>
    <n v="332"/>
    <x v="6"/>
    <n v="19"/>
    <x v="1"/>
    <s v="Clothing"/>
    <n v="821"/>
    <n v="3"/>
    <d v="2022-11-02T00:00:00"/>
    <n v="45"/>
    <s v="Male"/>
    <s v="USA"/>
    <n v="2463"/>
  </r>
  <r>
    <n v="333"/>
    <x v="47"/>
    <n v="32"/>
    <x v="6"/>
    <s v="Accessories"/>
    <n v="947"/>
    <n v="3"/>
    <d v="2022-09-25T00:00:00"/>
    <n v="64"/>
    <s v="Male"/>
    <s v="USA"/>
    <n v="2841"/>
  </r>
  <r>
    <n v="334"/>
    <x v="89"/>
    <n v="9"/>
    <x v="8"/>
    <s v="Accessories"/>
    <n v="451"/>
    <n v="2"/>
    <d v="2022-02-23T00:00:00"/>
    <n v="25"/>
    <s v="Female"/>
    <s v="USA"/>
    <n v="902"/>
  </r>
  <r>
    <n v="335"/>
    <x v="156"/>
    <n v="12"/>
    <x v="4"/>
    <s v="Electronics"/>
    <n v="130"/>
    <n v="1"/>
    <d v="2022-08-24T00:00:00"/>
    <n v="51"/>
    <s v="Female"/>
    <s v="France"/>
    <n v="130"/>
  </r>
  <r>
    <n v="336"/>
    <x v="95"/>
    <n v="11"/>
    <x v="6"/>
    <s v="Accessories"/>
    <n v="826"/>
    <n v="2"/>
    <d v="2022-08-10T00:00:00"/>
    <n v="52"/>
    <s v="Female"/>
    <s v="USA"/>
    <n v="1652"/>
  </r>
  <r>
    <n v="337"/>
    <x v="50"/>
    <n v="46"/>
    <x v="2"/>
    <s v="Accessories"/>
    <n v="614"/>
    <n v="1"/>
    <d v="2022-09-08T00:00:00"/>
    <n v="49"/>
    <s v="Female"/>
    <s v="France"/>
    <n v="614"/>
  </r>
  <r>
    <n v="338"/>
    <x v="10"/>
    <n v="16"/>
    <x v="0"/>
    <s v="Clothing"/>
    <n v="255"/>
    <n v="4"/>
    <d v="2022-11-09T00:00:00"/>
    <n v="41"/>
    <s v="Male"/>
    <s v="France"/>
    <n v="1020"/>
  </r>
  <r>
    <n v="339"/>
    <x v="51"/>
    <n v="1"/>
    <x v="8"/>
    <s v="Accessories"/>
    <n v="511"/>
    <n v="3"/>
    <d v="2022-04-22T00:00:00"/>
    <n v="31"/>
    <s v="Male"/>
    <s v="USA"/>
    <n v="1533"/>
  </r>
  <r>
    <n v="340"/>
    <x v="156"/>
    <n v="45"/>
    <x v="5"/>
    <s v="Clothing"/>
    <n v="971"/>
    <n v="4"/>
    <d v="2022-09-12T00:00:00"/>
    <n v="49"/>
    <s v="Female"/>
    <s v="UK"/>
    <n v="3884"/>
  </r>
  <r>
    <n v="341"/>
    <x v="118"/>
    <n v="21"/>
    <x v="5"/>
    <s v="Clothing"/>
    <n v="826"/>
    <n v="1"/>
    <d v="2022-10-30T00:00:00"/>
    <n v="63"/>
    <s v="Male"/>
    <s v="Germany"/>
    <n v="826"/>
  </r>
  <r>
    <n v="342"/>
    <x v="150"/>
    <n v="30"/>
    <x v="5"/>
    <s v="Accessories"/>
    <n v="511"/>
    <n v="1"/>
    <d v="2022-07-26T00:00:00"/>
    <n v="60"/>
    <s v="Female"/>
    <s v="Canada"/>
    <n v="511"/>
  </r>
  <r>
    <n v="343"/>
    <x v="32"/>
    <n v="13"/>
    <x v="5"/>
    <s v="Accessories"/>
    <n v="511"/>
    <n v="4"/>
    <d v="2022-08-17T00:00:00"/>
    <n v="33"/>
    <s v="Female"/>
    <s v="France"/>
    <n v="2044"/>
  </r>
  <r>
    <n v="344"/>
    <x v="159"/>
    <n v="34"/>
    <x v="0"/>
    <s v="Accessories"/>
    <n v="439"/>
    <n v="1"/>
    <d v="2022-12-07T00:00:00"/>
    <n v="21"/>
    <s v="Male"/>
    <s v="Australia"/>
    <n v="439"/>
  </r>
  <r>
    <n v="345"/>
    <x v="160"/>
    <n v="4"/>
    <x v="6"/>
    <s v="Clothing"/>
    <n v="102"/>
    <n v="4"/>
    <d v="2022-03-07T00:00:00"/>
    <n v="54"/>
    <s v="Female"/>
    <s v="Australia"/>
    <n v="408"/>
  </r>
  <r>
    <n v="346"/>
    <x v="160"/>
    <n v="28"/>
    <x v="3"/>
    <s v="Electronics"/>
    <n v="779"/>
    <n v="3"/>
    <d v="2022-03-16T00:00:00"/>
    <n v="38"/>
    <s v="Male"/>
    <s v="Germany"/>
    <n v="2337"/>
  </r>
  <r>
    <n v="347"/>
    <x v="132"/>
    <n v="38"/>
    <x v="6"/>
    <s v="Electronics"/>
    <n v="389"/>
    <n v="4"/>
    <d v="2022-04-13T00:00:00"/>
    <n v="31"/>
    <s v="Male"/>
    <s v="Australia"/>
    <n v="1556"/>
  </r>
  <r>
    <n v="348"/>
    <x v="138"/>
    <n v="31"/>
    <x v="7"/>
    <s v="Electronics"/>
    <n v="841"/>
    <n v="3"/>
    <d v="2022-07-11T00:00:00"/>
    <n v="48"/>
    <s v="Male"/>
    <s v="UK"/>
    <n v="2523"/>
  </r>
  <r>
    <n v="349"/>
    <x v="161"/>
    <n v="27"/>
    <x v="4"/>
    <s v="Accessories"/>
    <n v="558"/>
    <n v="4"/>
    <d v="2022-09-09T00:00:00"/>
    <n v="35"/>
    <s v="Male"/>
    <s v="Australia"/>
    <n v="2232"/>
  </r>
  <r>
    <n v="350"/>
    <x v="147"/>
    <n v="5"/>
    <x v="1"/>
    <s v="Clothing"/>
    <n v="451"/>
    <n v="1"/>
    <d v="2022-08-14T00:00:00"/>
    <n v="24"/>
    <s v="Female"/>
    <s v="Canada"/>
    <n v="451"/>
  </r>
  <r>
    <n v="351"/>
    <x v="54"/>
    <n v="25"/>
    <x v="3"/>
    <s v="Clothing"/>
    <n v="439"/>
    <n v="4"/>
    <d v="2022-10-21T00:00:00"/>
    <n v="27"/>
    <s v="Male"/>
    <s v="Canada"/>
    <n v="1756"/>
  </r>
  <r>
    <n v="352"/>
    <x v="123"/>
    <n v="3"/>
    <x v="3"/>
    <s v="Electronics"/>
    <n v="971"/>
    <n v="1"/>
    <d v="2022-11-02T00:00:00"/>
    <n v="24"/>
    <s v="Female"/>
    <s v="France"/>
    <n v="971"/>
  </r>
  <r>
    <n v="353"/>
    <x v="110"/>
    <n v="33"/>
    <x v="6"/>
    <s v="Accessories"/>
    <n v="416"/>
    <n v="4"/>
    <d v="2022-04-08T00:00:00"/>
    <n v="50"/>
    <s v="Female"/>
    <s v="USA"/>
    <n v="1664"/>
  </r>
  <r>
    <n v="354"/>
    <x v="142"/>
    <n v="4"/>
    <x v="3"/>
    <s v="Clothing"/>
    <n v="614"/>
    <n v="4"/>
    <d v="2022-12-04T00:00:00"/>
    <n v="40"/>
    <s v="Female"/>
    <s v="UK"/>
    <n v="2456"/>
  </r>
  <r>
    <n v="355"/>
    <x v="91"/>
    <n v="25"/>
    <x v="9"/>
    <s v="Electronics"/>
    <n v="798"/>
    <n v="2"/>
    <d v="2022-10-13T00:00:00"/>
    <n v="38"/>
    <s v="Female"/>
    <s v="France"/>
    <n v="1596"/>
  </r>
  <r>
    <n v="356"/>
    <x v="3"/>
    <n v="20"/>
    <x v="9"/>
    <s v="Clothing"/>
    <n v="928"/>
    <n v="1"/>
    <d v="2022-12-01T00:00:00"/>
    <n v="36"/>
    <s v="Male"/>
    <s v="UK"/>
    <n v="928"/>
  </r>
  <r>
    <n v="357"/>
    <x v="162"/>
    <n v="34"/>
    <x v="7"/>
    <s v="Accessories"/>
    <n v="51"/>
    <n v="2"/>
    <d v="2022-12-13T00:00:00"/>
    <n v="36"/>
    <s v="Male"/>
    <s v="USA"/>
    <n v="102"/>
  </r>
  <r>
    <n v="358"/>
    <x v="153"/>
    <n v="26"/>
    <x v="1"/>
    <s v="Accessories"/>
    <n v="437"/>
    <n v="1"/>
    <d v="2022-11-04T00:00:00"/>
    <n v="53"/>
    <s v="Female"/>
    <s v="Australia"/>
    <n v="437"/>
  </r>
  <r>
    <n v="359"/>
    <x v="163"/>
    <n v="5"/>
    <x v="2"/>
    <s v="Clothing"/>
    <n v="865"/>
    <n v="2"/>
    <d v="2022-09-06T00:00:00"/>
    <n v="46"/>
    <s v="Female"/>
    <s v="Australia"/>
    <n v="1730"/>
  </r>
  <r>
    <n v="360"/>
    <x v="60"/>
    <n v="35"/>
    <x v="0"/>
    <s v="Accessories"/>
    <n v="947"/>
    <n v="3"/>
    <d v="2022-06-15T00:00:00"/>
    <n v="35"/>
    <s v="Male"/>
    <s v="USA"/>
    <n v="2841"/>
  </r>
  <r>
    <n v="361"/>
    <x v="46"/>
    <n v="28"/>
    <x v="6"/>
    <s v="Electronics"/>
    <n v="389"/>
    <n v="4"/>
    <d v="2022-12-01T00:00:00"/>
    <n v="19"/>
    <s v="Female"/>
    <s v="France"/>
    <n v="1556"/>
  </r>
  <r>
    <n v="362"/>
    <x v="46"/>
    <n v="29"/>
    <x v="0"/>
    <s v="Electronics"/>
    <n v="826"/>
    <n v="1"/>
    <d v="2022-01-30T00:00:00"/>
    <n v="18"/>
    <s v="Male"/>
    <s v="USA"/>
    <n v="826"/>
  </r>
  <r>
    <n v="363"/>
    <x v="164"/>
    <n v="9"/>
    <x v="2"/>
    <s v="Clothing"/>
    <n v="947"/>
    <n v="1"/>
    <d v="2022-09-04T00:00:00"/>
    <n v="64"/>
    <s v="Female"/>
    <s v="Germany"/>
    <n v="947"/>
  </r>
  <r>
    <n v="364"/>
    <x v="115"/>
    <n v="38"/>
    <x v="6"/>
    <s v="Clothing"/>
    <n v="992"/>
    <n v="4"/>
    <d v="2022-04-16T00:00:00"/>
    <n v="22"/>
    <s v="Male"/>
    <s v="Canada"/>
    <n v="3968"/>
  </r>
  <r>
    <n v="365"/>
    <x v="50"/>
    <n v="50"/>
    <x v="6"/>
    <s v="Accessories"/>
    <n v="752"/>
    <n v="1"/>
    <d v="2022-02-20T00:00:00"/>
    <n v="37"/>
    <s v="Female"/>
    <s v="France"/>
    <n v="752"/>
  </r>
  <r>
    <n v="366"/>
    <x v="14"/>
    <n v="6"/>
    <x v="1"/>
    <s v="Accessories"/>
    <n v="345"/>
    <n v="1"/>
    <d v="2022-03-22T00:00:00"/>
    <n v="28"/>
    <s v="Female"/>
    <s v="UK"/>
    <n v="345"/>
  </r>
  <r>
    <n v="367"/>
    <x v="8"/>
    <n v="19"/>
    <x v="0"/>
    <s v="Electronics"/>
    <n v="155"/>
    <n v="2"/>
    <d v="2022-05-13T00:00:00"/>
    <n v="59"/>
    <s v="Male"/>
    <s v="Germany"/>
    <n v="310"/>
  </r>
  <r>
    <n v="368"/>
    <x v="83"/>
    <n v="44"/>
    <x v="9"/>
    <s v="Electronics"/>
    <n v="871"/>
    <n v="1"/>
    <d v="2022-10-12T00:00:00"/>
    <n v="19"/>
    <s v="Female"/>
    <s v="France"/>
    <n v="871"/>
  </r>
  <r>
    <n v="369"/>
    <x v="165"/>
    <n v="11"/>
    <x v="5"/>
    <s v="Electronics"/>
    <n v="439"/>
    <n v="3"/>
    <d v="2022-05-18T00:00:00"/>
    <n v="20"/>
    <s v="Female"/>
    <s v="USA"/>
    <n v="1317"/>
  </r>
  <r>
    <n v="370"/>
    <x v="145"/>
    <n v="2"/>
    <x v="0"/>
    <s v="Accessories"/>
    <n v="821"/>
    <n v="3"/>
    <d v="2022-07-03T00:00:00"/>
    <n v="40"/>
    <s v="Male"/>
    <s v="USA"/>
    <n v="2463"/>
  </r>
  <r>
    <n v="371"/>
    <x v="166"/>
    <n v="47"/>
    <x v="4"/>
    <s v="Clothing"/>
    <n v="871"/>
    <n v="4"/>
    <d v="2022-11-26T00:00:00"/>
    <n v="29"/>
    <s v="Female"/>
    <s v="USA"/>
    <n v="3484"/>
  </r>
  <r>
    <n v="372"/>
    <x v="38"/>
    <n v="44"/>
    <x v="4"/>
    <s v="Electronics"/>
    <n v="798"/>
    <n v="1"/>
    <d v="2022-09-30T00:00:00"/>
    <n v="37"/>
    <s v="Male"/>
    <s v="USA"/>
    <n v="798"/>
  </r>
  <r>
    <n v="373"/>
    <x v="76"/>
    <n v="44"/>
    <x v="6"/>
    <s v="Clothing"/>
    <n v="387"/>
    <n v="4"/>
    <d v="2022-12-06T00:00:00"/>
    <n v="22"/>
    <s v="Male"/>
    <s v="UK"/>
    <n v="1548"/>
  </r>
  <r>
    <n v="374"/>
    <x v="12"/>
    <n v="9"/>
    <x v="5"/>
    <s v="Electronics"/>
    <n v="251"/>
    <n v="3"/>
    <d v="2022-03-10T00:00:00"/>
    <n v="54"/>
    <s v="Female"/>
    <s v="Germany"/>
    <n v="753"/>
  </r>
  <r>
    <n v="375"/>
    <x v="37"/>
    <n v="21"/>
    <x v="8"/>
    <s v="Electronics"/>
    <n v="251"/>
    <n v="1"/>
    <d v="2022-02-03T00:00:00"/>
    <n v="55"/>
    <s v="Female"/>
    <s v="Australia"/>
    <n v="251"/>
  </r>
  <r>
    <n v="376"/>
    <x v="106"/>
    <n v="24"/>
    <x v="2"/>
    <s v="Accessories"/>
    <n v="389"/>
    <n v="1"/>
    <d v="2022-09-19T00:00:00"/>
    <n v="47"/>
    <s v="Female"/>
    <s v="Canada"/>
    <n v="389"/>
  </r>
  <r>
    <n v="377"/>
    <x v="122"/>
    <n v="34"/>
    <x v="7"/>
    <s v="Accessories"/>
    <n v="320"/>
    <n v="4"/>
    <d v="2022-02-22T00:00:00"/>
    <n v="26"/>
    <s v="Female"/>
    <s v="UK"/>
    <n v="1280"/>
  </r>
  <r>
    <n v="378"/>
    <x v="167"/>
    <n v="22"/>
    <x v="5"/>
    <s v="Electronics"/>
    <n v="387"/>
    <n v="3"/>
    <d v="2022-07-24T00:00:00"/>
    <n v="51"/>
    <s v="Female"/>
    <s v="UK"/>
    <n v="1161"/>
  </r>
  <r>
    <n v="379"/>
    <x v="43"/>
    <n v="3"/>
    <x v="7"/>
    <s v="Accessories"/>
    <n v="345"/>
    <n v="1"/>
    <d v="2022-05-06T00:00:00"/>
    <n v="61"/>
    <s v="Female"/>
    <s v="Australia"/>
    <n v="345"/>
  </r>
  <r>
    <n v="380"/>
    <x v="33"/>
    <n v="12"/>
    <x v="0"/>
    <s v="Electronics"/>
    <n v="841"/>
    <n v="4"/>
    <d v="2022-08-23T00:00:00"/>
    <n v="52"/>
    <s v="Female"/>
    <s v="Australia"/>
    <n v="3364"/>
  </r>
  <r>
    <n v="381"/>
    <x v="121"/>
    <n v="28"/>
    <x v="0"/>
    <s v="Accessories"/>
    <n v="345"/>
    <n v="3"/>
    <d v="2022-02-12T00:00:00"/>
    <n v="39"/>
    <s v="Male"/>
    <s v="Canada"/>
    <n v="1035"/>
  </r>
  <r>
    <n v="382"/>
    <x v="29"/>
    <n v="30"/>
    <x v="7"/>
    <s v="Accessories"/>
    <n v="776"/>
    <n v="4"/>
    <d v="2022-08-28T00:00:00"/>
    <n v="61"/>
    <s v="Female"/>
    <s v="Canada"/>
    <n v="3104"/>
  </r>
  <r>
    <n v="383"/>
    <x v="9"/>
    <n v="26"/>
    <x v="2"/>
    <s v="Electronics"/>
    <n v="981"/>
    <n v="2"/>
    <d v="2022-04-21T00:00:00"/>
    <n v="41"/>
    <s v="Male"/>
    <s v="Australia"/>
    <n v="1962"/>
  </r>
  <r>
    <n v="384"/>
    <x v="88"/>
    <n v="48"/>
    <x v="5"/>
    <s v="Clothing"/>
    <n v="319"/>
    <n v="1"/>
    <d v="2022-09-06T00:00:00"/>
    <n v="34"/>
    <s v="Female"/>
    <s v="USA"/>
    <n v="319"/>
  </r>
  <r>
    <n v="385"/>
    <x v="24"/>
    <n v="21"/>
    <x v="8"/>
    <s v="Electronics"/>
    <n v="841"/>
    <n v="2"/>
    <d v="2022-05-31T00:00:00"/>
    <n v="27"/>
    <s v="Female"/>
    <s v="UK"/>
    <n v="1682"/>
  </r>
  <r>
    <n v="386"/>
    <x v="168"/>
    <n v="28"/>
    <x v="6"/>
    <s v="Accessories"/>
    <n v="439"/>
    <n v="3"/>
    <d v="2022-07-02T00:00:00"/>
    <n v="47"/>
    <s v="Male"/>
    <s v="France"/>
    <n v="1317"/>
  </r>
  <r>
    <n v="387"/>
    <x v="169"/>
    <n v="26"/>
    <x v="1"/>
    <s v="Clothing"/>
    <n v="477"/>
    <n v="2"/>
    <d v="2022-12-02T00:00:00"/>
    <n v="63"/>
    <s v="Female"/>
    <s v="Canada"/>
    <n v="954"/>
  </r>
  <r>
    <n v="388"/>
    <x v="66"/>
    <n v="33"/>
    <x v="0"/>
    <s v="Accessories"/>
    <n v="141"/>
    <n v="2"/>
    <d v="2022-04-05T00:00:00"/>
    <n v="40"/>
    <s v="Female"/>
    <s v="Canada"/>
    <n v="282"/>
  </r>
  <r>
    <n v="389"/>
    <x v="86"/>
    <n v="21"/>
    <x v="4"/>
    <s v="Electronics"/>
    <n v="798"/>
    <n v="3"/>
    <d v="2022-01-08T00:00:00"/>
    <n v="49"/>
    <s v="Male"/>
    <s v="Australia"/>
    <n v="2394"/>
  </r>
  <r>
    <n v="390"/>
    <x v="104"/>
    <n v="35"/>
    <x v="2"/>
    <s v="Accessories"/>
    <n v="865"/>
    <n v="4"/>
    <d v="2022-12-26T00:00:00"/>
    <n v="34"/>
    <s v="Female"/>
    <s v="Germany"/>
    <n v="3460"/>
  </r>
  <r>
    <n v="391"/>
    <x v="49"/>
    <n v="34"/>
    <x v="1"/>
    <s v="Electronics"/>
    <n v="776"/>
    <n v="2"/>
    <d v="2022-07-03T00:00:00"/>
    <n v="34"/>
    <s v="Female"/>
    <s v="France"/>
    <n v="1552"/>
  </r>
  <r>
    <n v="392"/>
    <x v="35"/>
    <n v="41"/>
    <x v="8"/>
    <s v="Electronics"/>
    <n v="615"/>
    <n v="4"/>
    <d v="2022-10-08T00:00:00"/>
    <n v="31"/>
    <s v="Female"/>
    <s v="France"/>
    <n v="2460"/>
  </r>
  <r>
    <n v="393"/>
    <x v="72"/>
    <n v="47"/>
    <x v="3"/>
    <s v="Accessories"/>
    <n v="751"/>
    <n v="2"/>
    <d v="2022-07-14T00:00:00"/>
    <n v="26"/>
    <s v="Male"/>
    <s v="Canada"/>
    <n v="1502"/>
  </r>
  <r>
    <n v="394"/>
    <x v="102"/>
    <n v="18"/>
    <x v="6"/>
    <s v="Accessories"/>
    <n v="389"/>
    <n v="4"/>
    <d v="2022-12-18T00:00:00"/>
    <n v="57"/>
    <s v="Female"/>
    <s v="USA"/>
    <n v="1556"/>
  </r>
  <r>
    <n v="395"/>
    <x v="13"/>
    <n v="11"/>
    <x v="0"/>
    <s v="Clothing"/>
    <n v="345"/>
    <n v="3"/>
    <d v="2022-07-14T00:00:00"/>
    <n v="19"/>
    <s v="Female"/>
    <s v="Germany"/>
    <n v="1035"/>
  </r>
  <r>
    <n v="396"/>
    <x v="21"/>
    <n v="23"/>
    <x v="6"/>
    <s v="Accessories"/>
    <n v="155"/>
    <n v="2"/>
    <d v="2022-06-04T00:00:00"/>
    <n v="62"/>
    <s v="Female"/>
    <s v="France"/>
    <n v="310"/>
  </r>
  <r>
    <n v="397"/>
    <x v="42"/>
    <n v="48"/>
    <x v="1"/>
    <s v="Clothing"/>
    <n v="611"/>
    <n v="3"/>
    <d v="2022-04-03T00:00:00"/>
    <n v="42"/>
    <s v="Female"/>
    <s v="Canada"/>
    <n v="1833"/>
  </r>
  <r>
    <n v="398"/>
    <x v="141"/>
    <n v="22"/>
    <x v="6"/>
    <s v="Clothing"/>
    <n v="992"/>
    <n v="2"/>
    <d v="2022-06-09T00:00:00"/>
    <n v="56"/>
    <s v="Male"/>
    <s v="France"/>
    <n v="1984"/>
  </r>
  <r>
    <n v="399"/>
    <x v="6"/>
    <n v="17"/>
    <x v="3"/>
    <s v="Clothing"/>
    <n v="155"/>
    <n v="3"/>
    <d v="2022-03-02T00:00:00"/>
    <n v="26"/>
    <s v="Male"/>
    <s v="Germany"/>
    <n v="465"/>
  </r>
  <r>
    <n v="400"/>
    <x v="109"/>
    <n v="5"/>
    <x v="1"/>
    <s v="Electronics"/>
    <n v="981"/>
    <n v="3"/>
    <d v="2022-05-02T00:00:00"/>
    <n v="39"/>
    <s v="Female"/>
    <s v="Germany"/>
    <n v="2943"/>
  </r>
  <r>
    <n v="401"/>
    <x v="69"/>
    <n v="44"/>
    <x v="0"/>
    <s v="Accessories"/>
    <n v="614"/>
    <n v="2"/>
    <d v="2022-02-20T00:00:00"/>
    <n v="60"/>
    <s v="Female"/>
    <s v="UK"/>
    <n v="1228"/>
  </r>
  <r>
    <n v="402"/>
    <x v="31"/>
    <n v="11"/>
    <x v="5"/>
    <s v="Clothing"/>
    <n v="605"/>
    <n v="2"/>
    <d v="2022-10-04T00:00:00"/>
    <n v="63"/>
    <s v="Male"/>
    <s v="Australia"/>
    <n v="1210"/>
  </r>
  <r>
    <n v="403"/>
    <x v="31"/>
    <n v="30"/>
    <x v="4"/>
    <s v="Electronics"/>
    <n v="615"/>
    <n v="2"/>
    <d v="2022-01-05T00:00:00"/>
    <n v="21"/>
    <s v="Male"/>
    <s v="Australia"/>
    <n v="1230"/>
  </r>
  <r>
    <n v="404"/>
    <x v="133"/>
    <n v="15"/>
    <x v="1"/>
    <s v="Electronics"/>
    <n v="477"/>
    <n v="1"/>
    <d v="2022-04-02T00:00:00"/>
    <n v="43"/>
    <s v="Female"/>
    <s v="Canada"/>
    <n v="477"/>
  </r>
  <r>
    <n v="405"/>
    <x v="7"/>
    <n v="27"/>
    <x v="9"/>
    <s v="Clothing"/>
    <n v="779"/>
    <n v="4"/>
    <d v="2022-06-19T00:00:00"/>
    <n v="46"/>
    <s v="Male"/>
    <s v="Germany"/>
    <n v="3116"/>
  </r>
  <r>
    <n v="406"/>
    <x v="104"/>
    <n v="35"/>
    <x v="3"/>
    <s v="Electronics"/>
    <n v="928"/>
    <n v="1"/>
    <d v="2022-11-13T00:00:00"/>
    <n v="62"/>
    <s v="Female"/>
    <s v="UK"/>
    <n v="928"/>
  </r>
  <r>
    <n v="407"/>
    <x v="170"/>
    <n v="33"/>
    <x v="1"/>
    <s v="Electronics"/>
    <n v="505"/>
    <n v="1"/>
    <d v="2022-01-22T00:00:00"/>
    <n v="51"/>
    <s v="Male"/>
    <s v="UK"/>
    <n v="505"/>
  </r>
  <r>
    <n v="408"/>
    <x v="132"/>
    <n v="20"/>
    <x v="1"/>
    <s v="Accessories"/>
    <n v="155"/>
    <n v="3"/>
    <d v="2022-11-22T00:00:00"/>
    <n v="40"/>
    <s v="Male"/>
    <s v="France"/>
    <n v="465"/>
  </r>
  <r>
    <n v="409"/>
    <x v="171"/>
    <n v="16"/>
    <x v="9"/>
    <s v="Accessories"/>
    <n v="84"/>
    <n v="2"/>
    <d v="2022-01-01T00:00:00"/>
    <n v="54"/>
    <s v="Male"/>
    <s v="France"/>
    <n v="168"/>
  </r>
  <r>
    <n v="410"/>
    <x v="18"/>
    <n v="34"/>
    <x v="0"/>
    <s v="Accessories"/>
    <n v="251"/>
    <n v="4"/>
    <d v="2022-05-13T00:00:00"/>
    <n v="28"/>
    <s v="Male"/>
    <s v="UK"/>
    <n v="1004"/>
  </r>
  <r>
    <n v="411"/>
    <x v="139"/>
    <n v="2"/>
    <x v="1"/>
    <s v="Electronics"/>
    <n v="387"/>
    <n v="3"/>
    <d v="2022-08-21T00:00:00"/>
    <n v="23"/>
    <s v="Female"/>
    <s v="France"/>
    <n v="1161"/>
  </r>
  <r>
    <n v="412"/>
    <x v="12"/>
    <n v="35"/>
    <x v="4"/>
    <s v="Accessories"/>
    <n v="928"/>
    <n v="1"/>
    <d v="2022-01-12T00:00:00"/>
    <n v="35"/>
    <s v="Male"/>
    <s v="Germany"/>
    <n v="928"/>
  </r>
  <r>
    <n v="413"/>
    <x v="172"/>
    <n v="40"/>
    <x v="6"/>
    <s v="Clothing"/>
    <n v="102"/>
    <n v="2"/>
    <d v="2022-12-12T00:00:00"/>
    <n v="38"/>
    <s v="Male"/>
    <s v="USA"/>
    <n v="204"/>
  </r>
  <r>
    <n v="414"/>
    <x v="9"/>
    <n v="28"/>
    <x v="0"/>
    <s v="Accessories"/>
    <n v="155"/>
    <n v="3"/>
    <d v="2022-02-15T00:00:00"/>
    <n v="59"/>
    <s v="Female"/>
    <s v="Germany"/>
    <n v="465"/>
  </r>
  <r>
    <n v="415"/>
    <x v="133"/>
    <n v="47"/>
    <x v="4"/>
    <s v="Accessories"/>
    <n v="798"/>
    <n v="2"/>
    <d v="2022-02-03T00:00:00"/>
    <n v="53"/>
    <s v="Male"/>
    <s v="UK"/>
    <n v="1596"/>
  </r>
  <r>
    <n v="416"/>
    <x v="86"/>
    <n v="39"/>
    <x v="0"/>
    <s v="Accessories"/>
    <n v="611"/>
    <n v="3"/>
    <d v="2022-03-19T00:00:00"/>
    <n v="58"/>
    <s v="Male"/>
    <s v="UK"/>
    <n v="1833"/>
  </r>
  <r>
    <n v="417"/>
    <x v="173"/>
    <n v="6"/>
    <x v="4"/>
    <s v="Accessories"/>
    <n v="301"/>
    <n v="2"/>
    <d v="2022-08-06T00:00:00"/>
    <n v="55"/>
    <s v="Female"/>
    <s v="Germany"/>
    <n v="602"/>
  </r>
  <r>
    <n v="418"/>
    <x v="67"/>
    <n v="9"/>
    <x v="3"/>
    <s v="Clothing"/>
    <n v="439"/>
    <n v="1"/>
    <d v="2022-10-28T00:00:00"/>
    <n v="51"/>
    <s v="Male"/>
    <s v="France"/>
    <n v="439"/>
  </r>
  <r>
    <n v="419"/>
    <x v="47"/>
    <n v="20"/>
    <x v="4"/>
    <s v="Clothing"/>
    <n v="395"/>
    <n v="4"/>
    <d v="2022-03-14T00:00:00"/>
    <n v="34"/>
    <s v="Female"/>
    <s v="France"/>
    <n v="1580"/>
  </r>
  <r>
    <n v="420"/>
    <x v="31"/>
    <n v="1"/>
    <x v="7"/>
    <s v="Electronics"/>
    <n v="505"/>
    <n v="1"/>
    <d v="2022-10-09T00:00:00"/>
    <n v="54"/>
    <s v="Female"/>
    <s v="Australia"/>
    <n v="505"/>
  </r>
  <r>
    <n v="421"/>
    <x v="159"/>
    <n v="8"/>
    <x v="4"/>
    <s v="Accessories"/>
    <n v="141"/>
    <n v="4"/>
    <d v="2022-09-06T00:00:00"/>
    <n v="42"/>
    <s v="Female"/>
    <s v="UK"/>
    <n v="564"/>
  </r>
  <r>
    <n v="422"/>
    <x v="174"/>
    <n v="23"/>
    <x v="5"/>
    <s v="Clothing"/>
    <n v="769"/>
    <n v="2"/>
    <d v="2022-02-16T00:00:00"/>
    <n v="55"/>
    <s v="Female"/>
    <s v="Canada"/>
    <n v="1538"/>
  </r>
  <r>
    <n v="423"/>
    <x v="148"/>
    <n v="3"/>
    <x v="5"/>
    <s v="Clothing"/>
    <n v="921"/>
    <n v="3"/>
    <d v="2022-05-01T00:00:00"/>
    <n v="29"/>
    <s v="Male"/>
    <s v="Australia"/>
    <n v="2763"/>
  </r>
  <r>
    <n v="424"/>
    <x v="140"/>
    <n v="4"/>
    <x v="2"/>
    <s v="Accessories"/>
    <n v="605"/>
    <n v="1"/>
    <d v="2022-08-02T00:00:00"/>
    <n v="40"/>
    <s v="Female"/>
    <s v="France"/>
    <n v="605"/>
  </r>
  <r>
    <n v="425"/>
    <x v="49"/>
    <n v="25"/>
    <x v="7"/>
    <s v="Clothing"/>
    <n v="615"/>
    <n v="4"/>
    <d v="2022-08-27T00:00:00"/>
    <n v="59"/>
    <s v="Male"/>
    <s v="Germany"/>
    <n v="2460"/>
  </r>
  <r>
    <n v="426"/>
    <x v="168"/>
    <n v="47"/>
    <x v="7"/>
    <s v="Clothing"/>
    <n v="319"/>
    <n v="1"/>
    <d v="2022-02-25T00:00:00"/>
    <n v="39"/>
    <s v="Male"/>
    <s v="France"/>
    <n v="319"/>
  </r>
  <r>
    <n v="427"/>
    <x v="31"/>
    <n v="38"/>
    <x v="6"/>
    <s v="Accessories"/>
    <n v="605"/>
    <n v="4"/>
    <d v="2022-12-16T00:00:00"/>
    <n v="38"/>
    <s v="Male"/>
    <s v="Germany"/>
    <n v="2420"/>
  </r>
  <r>
    <n v="428"/>
    <x v="169"/>
    <n v="15"/>
    <x v="7"/>
    <s v="Accessories"/>
    <n v="611"/>
    <n v="1"/>
    <d v="2022-04-17T00:00:00"/>
    <n v="44"/>
    <s v="Male"/>
    <s v="Australia"/>
    <n v="611"/>
  </r>
  <r>
    <n v="429"/>
    <x v="175"/>
    <n v="21"/>
    <x v="6"/>
    <s v="Accessories"/>
    <n v="774"/>
    <n v="4"/>
    <d v="2022-11-15T00:00:00"/>
    <n v="48"/>
    <s v="Male"/>
    <s v="UK"/>
    <n v="3096"/>
  </r>
  <r>
    <n v="430"/>
    <x v="70"/>
    <n v="35"/>
    <x v="2"/>
    <s v="Clothing"/>
    <n v="251"/>
    <n v="4"/>
    <d v="2022-02-17T00:00:00"/>
    <n v="23"/>
    <s v="Male"/>
    <s v="France"/>
    <n v="1004"/>
  </r>
  <r>
    <n v="431"/>
    <x v="176"/>
    <n v="46"/>
    <x v="2"/>
    <s v="Clothing"/>
    <n v="345"/>
    <n v="2"/>
    <d v="2022-03-02T00:00:00"/>
    <n v="44"/>
    <s v="Male"/>
    <s v="Germany"/>
    <n v="690"/>
  </r>
  <r>
    <n v="432"/>
    <x v="177"/>
    <n v="14"/>
    <x v="3"/>
    <s v="Clothing"/>
    <n v="255"/>
    <n v="4"/>
    <d v="2022-12-03T00:00:00"/>
    <n v="57"/>
    <s v="Male"/>
    <s v="UK"/>
    <n v="1020"/>
  </r>
  <r>
    <n v="433"/>
    <x v="49"/>
    <n v="36"/>
    <x v="5"/>
    <s v="Clothing"/>
    <n v="558"/>
    <n v="2"/>
    <d v="2022-01-26T00:00:00"/>
    <n v="51"/>
    <s v="Male"/>
    <s v="Canada"/>
    <n v="1116"/>
  </r>
  <r>
    <n v="434"/>
    <x v="111"/>
    <n v="12"/>
    <x v="4"/>
    <s v="Electronics"/>
    <n v="928"/>
    <n v="4"/>
    <d v="2022-10-19T00:00:00"/>
    <n v="29"/>
    <s v="Male"/>
    <s v="Germany"/>
    <n v="3712"/>
  </r>
  <r>
    <n v="435"/>
    <x v="49"/>
    <n v="17"/>
    <x v="4"/>
    <s v="Electronics"/>
    <n v="320"/>
    <n v="3"/>
    <d v="2022-09-14T00:00:00"/>
    <n v="62"/>
    <s v="Female"/>
    <s v="Australia"/>
    <n v="960"/>
  </r>
  <r>
    <n v="436"/>
    <x v="121"/>
    <n v="39"/>
    <x v="9"/>
    <s v="Clothing"/>
    <n v="912"/>
    <n v="3"/>
    <d v="2022-01-08T00:00:00"/>
    <n v="24"/>
    <s v="Female"/>
    <s v="Canada"/>
    <n v="2736"/>
  </r>
  <r>
    <n v="437"/>
    <x v="38"/>
    <n v="9"/>
    <x v="9"/>
    <s v="Electronics"/>
    <n v="477"/>
    <n v="3"/>
    <d v="2022-04-23T00:00:00"/>
    <n v="27"/>
    <s v="Female"/>
    <s v="Canada"/>
    <n v="1431"/>
  </r>
  <r>
    <n v="438"/>
    <x v="27"/>
    <n v="35"/>
    <x v="8"/>
    <s v="Electronics"/>
    <n v="345"/>
    <n v="4"/>
    <d v="2022-12-21T00:00:00"/>
    <n v="62"/>
    <s v="Male"/>
    <s v="USA"/>
    <n v="1380"/>
  </r>
  <r>
    <n v="439"/>
    <x v="76"/>
    <n v="13"/>
    <x v="0"/>
    <s v="Accessories"/>
    <n v="451"/>
    <n v="2"/>
    <d v="2022-09-10T00:00:00"/>
    <n v="34"/>
    <s v="Female"/>
    <s v="France"/>
    <n v="902"/>
  </r>
  <r>
    <n v="440"/>
    <x v="162"/>
    <n v="15"/>
    <x v="3"/>
    <s v="Accessories"/>
    <n v="825"/>
    <n v="2"/>
    <d v="2022-06-29T00:00:00"/>
    <n v="43"/>
    <s v="Female"/>
    <s v="Germany"/>
    <n v="1650"/>
  </r>
  <r>
    <n v="441"/>
    <x v="85"/>
    <n v="18"/>
    <x v="8"/>
    <s v="Accessories"/>
    <n v="255"/>
    <n v="4"/>
    <d v="2022-07-26T00:00:00"/>
    <n v="38"/>
    <s v="Female"/>
    <s v="Canada"/>
    <n v="1020"/>
  </r>
  <r>
    <n v="442"/>
    <x v="56"/>
    <n v="33"/>
    <x v="8"/>
    <s v="Accessories"/>
    <n v="776"/>
    <n v="3"/>
    <d v="2022-10-30T00:00:00"/>
    <n v="45"/>
    <s v="Male"/>
    <s v="USA"/>
    <n v="2328"/>
  </r>
  <r>
    <n v="443"/>
    <x v="0"/>
    <n v="6"/>
    <x v="1"/>
    <s v="Electronics"/>
    <n v="928"/>
    <n v="3"/>
    <d v="2022-05-07T00:00:00"/>
    <n v="63"/>
    <s v="Male"/>
    <s v="Australia"/>
    <n v="2784"/>
  </r>
  <r>
    <n v="444"/>
    <x v="120"/>
    <n v="27"/>
    <x v="1"/>
    <s v="Accessories"/>
    <n v="437"/>
    <n v="2"/>
    <d v="2022-02-25T00:00:00"/>
    <n v="19"/>
    <s v="Male"/>
    <s v="UK"/>
    <n v="874"/>
  </r>
  <r>
    <n v="445"/>
    <x v="173"/>
    <n v="23"/>
    <x v="8"/>
    <s v="Electronics"/>
    <n v="130"/>
    <n v="3"/>
    <d v="2022-08-02T00:00:00"/>
    <n v="60"/>
    <s v="Male"/>
    <s v="Germany"/>
    <n v="390"/>
  </r>
  <r>
    <n v="446"/>
    <x v="74"/>
    <n v="27"/>
    <x v="7"/>
    <s v="Clothing"/>
    <n v="451"/>
    <n v="1"/>
    <d v="2022-01-14T00:00:00"/>
    <n v="18"/>
    <s v="Female"/>
    <s v="Canada"/>
    <n v="451"/>
  </r>
  <r>
    <n v="447"/>
    <x v="152"/>
    <n v="34"/>
    <x v="0"/>
    <s v="Accessories"/>
    <n v="821"/>
    <n v="2"/>
    <d v="2022-01-28T00:00:00"/>
    <n v="53"/>
    <s v="Female"/>
    <s v="France"/>
    <n v="1642"/>
  </r>
  <r>
    <n v="448"/>
    <x v="42"/>
    <n v="46"/>
    <x v="3"/>
    <s v="Electronics"/>
    <n v="504"/>
    <n v="3"/>
    <d v="2022-03-19T00:00:00"/>
    <n v="43"/>
    <s v="Female"/>
    <s v="USA"/>
    <n v="1512"/>
  </r>
  <r>
    <n v="449"/>
    <x v="13"/>
    <n v="38"/>
    <x v="8"/>
    <s v="Clothing"/>
    <n v="774"/>
    <n v="2"/>
    <d v="2022-08-04T00:00:00"/>
    <n v="46"/>
    <s v="Female"/>
    <s v="Canada"/>
    <n v="1548"/>
  </r>
  <r>
    <n v="450"/>
    <x v="152"/>
    <n v="14"/>
    <x v="4"/>
    <s v="Accessories"/>
    <n v="477"/>
    <n v="1"/>
    <d v="2022-12-31T00:00:00"/>
    <n v="38"/>
    <s v="Male"/>
    <s v="France"/>
    <n v="477"/>
  </r>
  <r>
    <n v="451"/>
    <x v="91"/>
    <n v="36"/>
    <x v="0"/>
    <s v="Accessories"/>
    <n v="928"/>
    <n v="2"/>
    <d v="2022-06-03T00:00:00"/>
    <n v="28"/>
    <s v="Male"/>
    <s v="Canada"/>
    <n v="1856"/>
  </r>
  <r>
    <n v="452"/>
    <x v="48"/>
    <n v="8"/>
    <x v="1"/>
    <s v="Accessories"/>
    <n v="319"/>
    <n v="2"/>
    <d v="2022-01-14T00:00:00"/>
    <n v="57"/>
    <s v="Male"/>
    <s v="Germany"/>
    <n v="638"/>
  </r>
  <r>
    <n v="453"/>
    <x v="52"/>
    <n v="35"/>
    <x v="4"/>
    <s v="Accessories"/>
    <n v="319"/>
    <n v="2"/>
    <d v="2022-07-06T00:00:00"/>
    <n v="28"/>
    <s v="Female"/>
    <s v="Germany"/>
    <n v="638"/>
  </r>
  <r>
    <n v="454"/>
    <x v="109"/>
    <n v="19"/>
    <x v="1"/>
    <s v="Clothing"/>
    <n v="437"/>
    <n v="2"/>
    <d v="2022-11-08T00:00:00"/>
    <n v="53"/>
    <s v="Male"/>
    <s v="Germany"/>
    <n v="874"/>
  </r>
  <r>
    <n v="455"/>
    <x v="85"/>
    <n v="30"/>
    <x v="1"/>
    <s v="Clothing"/>
    <n v="614"/>
    <n v="1"/>
    <d v="2022-01-07T00:00:00"/>
    <n v="56"/>
    <s v="Male"/>
    <s v="Australia"/>
    <n v="614"/>
  </r>
  <r>
    <n v="456"/>
    <x v="157"/>
    <n v="14"/>
    <x v="0"/>
    <s v="Electronics"/>
    <n v="558"/>
    <n v="4"/>
    <d v="2022-01-03T00:00:00"/>
    <n v="57"/>
    <s v="Female"/>
    <s v="Australia"/>
    <n v="2232"/>
  </r>
  <r>
    <n v="457"/>
    <x v="53"/>
    <n v="20"/>
    <x v="1"/>
    <s v="Electronics"/>
    <n v="301"/>
    <n v="2"/>
    <d v="2022-04-21T00:00:00"/>
    <n v="52"/>
    <s v="Female"/>
    <s v="USA"/>
    <n v="602"/>
  </r>
  <r>
    <n v="458"/>
    <x v="173"/>
    <n v="49"/>
    <x v="2"/>
    <s v="Electronics"/>
    <n v="928"/>
    <n v="2"/>
    <d v="2022-08-26T00:00:00"/>
    <n v="51"/>
    <s v="Male"/>
    <s v="Germany"/>
    <n v="1856"/>
  </r>
  <r>
    <n v="459"/>
    <x v="94"/>
    <n v="25"/>
    <x v="5"/>
    <s v="Clothing"/>
    <n v="345"/>
    <n v="3"/>
    <d v="2022-12-29T00:00:00"/>
    <n v="64"/>
    <s v="Male"/>
    <s v="France"/>
    <n v="1035"/>
  </r>
  <r>
    <n v="460"/>
    <x v="178"/>
    <n v="40"/>
    <x v="2"/>
    <s v="Clothing"/>
    <n v="826"/>
    <n v="2"/>
    <d v="2022-08-27T00:00:00"/>
    <n v="41"/>
    <s v="Male"/>
    <s v="Canada"/>
    <n v="1652"/>
  </r>
  <r>
    <n v="461"/>
    <x v="179"/>
    <n v="24"/>
    <x v="5"/>
    <s v="Accessories"/>
    <n v="779"/>
    <n v="3"/>
    <d v="2022-10-01T00:00:00"/>
    <n v="39"/>
    <s v="Male"/>
    <s v="UK"/>
    <n v="2337"/>
  </r>
  <r>
    <n v="462"/>
    <x v="34"/>
    <n v="14"/>
    <x v="9"/>
    <s v="Accessories"/>
    <n v="971"/>
    <n v="4"/>
    <d v="2022-10-21T00:00:00"/>
    <n v="22"/>
    <s v="Male"/>
    <s v="France"/>
    <n v="3884"/>
  </r>
  <r>
    <n v="463"/>
    <x v="180"/>
    <n v="26"/>
    <x v="9"/>
    <s v="Electronics"/>
    <n v="912"/>
    <n v="1"/>
    <d v="2022-08-15T00:00:00"/>
    <n v="50"/>
    <s v="Male"/>
    <s v="Australia"/>
    <n v="912"/>
  </r>
  <r>
    <n v="464"/>
    <x v="55"/>
    <n v="38"/>
    <x v="1"/>
    <s v="Electronics"/>
    <n v="84"/>
    <n v="1"/>
    <d v="2022-01-15T00:00:00"/>
    <n v="53"/>
    <s v="Female"/>
    <s v="Australia"/>
    <n v="84"/>
  </r>
  <r>
    <n v="465"/>
    <x v="116"/>
    <n v="23"/>
    <x v="3"/>
    <s v="Electronics"/>
    <n v="826"/>
    <n v="4"/>
    <d v="2022-07-11T00:00:00"/>
    <n v="64"/>
    <s v="Female"/>
    <s v="France"/>
    <n v="3304"/>
  </r>
  <r>
    <n v="466"/>
    <x v="21"/>
    <n v="22"/>
    <x v="3"/>
    <s v="Accessories"/>
    <n v="912"/>
    <n v="1"/>
    <d v="2022-04-29T00:00:00"/>
    <n v="37"/>
    <s v="Female"/>
    <s v="Australia"/>
    <n v="912"/>
  </r>
  <r>
    <n v="467"/>
    <x v="28"/>
    <n v="48"/>
    <x v="5"/>
    <s v="Electronics"/>
    <n v="779"/>
    <n v="4"/>
    <d v="2022-01-28T00:00:00"/>
    <n v="36"/>
    <s v="Male"/>
    <s v="Germany"/>
    <n v="3116"/>
  </r>
  <r>
    <n v="468"/>
    <x v="73"/>
    <n v="19"/>
    <x v="4"/>
    <s v="Clothing"/>
    <n v="102"/>
    <n v="4"/>
    <d v="2022-07-21T00:00:00"/>
    <n v="52"/>
    <s v="Female"/>
    <s v="USA"/>
    <n v="408"/>
  </r>
  <r>
    <n v="469"/>
    <x v="146"/>
    <n v="46"/>
    <x v="0"/>
    <s v="Clothing"/>
    <n v="928"/>
    <n v="4"/>
    <d v="2022-02-08T00:00:00"/>
    <n v="60"/>
    <s v="Male"/>
    <s v="Canada"/>
    <n v="3712"/>
  </r>
  <r>
    <n v="470"/>
    <x v="58"/>
    <n v="3"/>
    <x v="1"/>
    <s v="Electronics"/>
    <n v="84"/>
    <n v="1"/>
    <d v="2022-09-30T00:00:00"/>
    <n v="34"/>
    <s v="Male"/>
    <s v="USA"/>
    <n v="84"/>
  </r>
  <r>
    <n v="471"/>
    <x v="175"/>
    <n v="42"/>
    <x v="0"/>
    <s v="Electronics"/>
    <n v="102"/>
    <n v="3"/>
    <d v="2022-08-19T00:00:00"/>
    <n v="62"/>
    <s v="Female"/>
    <s v="Canada"/>
    <n v="306"/>
  </r>
  <r>
    <n v="472"/>
    <x v="77"/>
    <n v="19"/>
    <x v="2"/>
    <s v="Electronics"/>
    <n v="841"/>
    <n v="4"/>
    <d v="2022-03-27T00:00:00"/>
    <n v="60"/>
    <s v="Male"/>
    <s v="Canada"/>
    <n v="3364"/>
  </r>
  <r>
    <n v="473"/>
    <x v="165"/>
    <n v="9"/>
    <x v="3"/>
    <s v="Electronics"/>
    <n v="779"/>
    <n v="2"/>
    <d v="2022-05-06T00:00:00"/>
    <n v="51"/>
    <s v="Male"/>
    <s v="USA"/>
    <n v="1558"/>
  </r>
  <r>
    <n v="474"/>
    <x v="105"/>
    <n v="28"/>
    <x v="7"/>
    <s v="Electronics"/>
    <n v="776"/>
    <n v="1"/>
    <d v="2022-10-27T00:00:00"/>
    <n v="26"/>
    <s v="Female"/>
    <s v="France"/>
    <n v="776"/>
  </r>
  <r>
    <n v="475"/>
    <x v="114"/>
    <n v="20"/>
    <x v="2"/>
    <s v="Clothing"/>
    <n v="821"/>
    <n v="4"/>
    <d v="2022-01-25T00:00:00"/>
    <n v="43"/>
    <s v="Female"/>
    <s v="Canada"/>
    <n v="3284"/>
  </r>
  <r>
    <n v="476"/>
    <x v="165"/>
    <n v="45"/>
    <x v="2"/>
    <s v="Clothing"/>
    <n v="526"/>
    <n v="4"/>
    <d v="2022-05-25T00:00:00"/>
    <n v="19"/>
    <s v="Female"/>
    <s v="USA"/>
    <n v="2104"/>
  </r>
  <r>
    <n v="477"/>
    <x v="38"/>
    <n v="7"/>
    <x v="5"/>
    <s v="Electronics"/>
    <n v="611"/>
    <n v="2"/>
    <d v="2022-01-13T00:00:00"/>
    <n v="26"/>
    <s v="Male"/>
    <s v="Canada"/>
    <n v="1222"/>
  </r>
  <r>
    <n v="478"/>
    <x v="65"/>
    <n v="14"/>
    <x v="6"/>
    <s v="Clothing"/>
    <n v="416"/>
    <n v="3"/>
    <d v="2022-07-31T00:00:00"/>
    <n v="26"/>
    <s v="Female"/>
    <s v="UK"/>
    <n v="1248"/>
  </r>
  <r>
    <n v="479"/>
    <x v="60"/>
    <n v="9"/>
    <x v="2"/>
    <s v="Accessories"/>
    <n v="84"/>
    <n v="3"/>
    <d v="2022-01-25T00:00:00"/>
    <n v="57"/>
    <s v="Female"/>
    <s v="France"/>
    <n v="252"/>
  </r>
  <r>
    <n v="480"/>
    <x v="69"/>
    <n v="19"/>
    <x v="1"/>
    <s v="Accessories"/>
    <n v="389"/>
    <n v="3"/>
    <d v="2022-03-09T00:00:00"/>
    <n v="34"/>
    <s v="Male"/>
    <s v="Germany"/>
    <n v="1167"/>
  </r>
  <r>
    <n v="481"/>
    <x v="181"/>
    <n v="47"/>
    <x v="8"/>
    <s v="Accessories"/>
    <n v="526"/>
    <n v="4"/>
    <d v="2022-03-08T00:00:00"/>
    <n v="18"/>
    <s v="Female"/>
    <s v="Canada"/>
    <n v="2104"/>
  </r>
  <r>
    <n v="482"/>
    <x v="150"/>
    <n v="14"/>
    <x v="8"/>
    <s v="Clothing"/>
    <n v="841"/>
    <n v="4"/>
    <d v="2022-08-21T00:00:00"/>
    <n v="42"/>
    <s v="Female"/>
    <s v="UK"/>
    <n v="3364"/>
  </r>
  <r>
    <n v="483"/>
    <x v="77"/>
    <n v="38"/>
    <x v="1"/>
    <s v="Accessories"/>
    <n v="614"/>
    <n v="4"/>
    <d v="2022-04-19T00:00:00"/>
    <n v="60"/>
    <s v="Female"/>
    <s v="Germany"/>
    <n v="2456"/>
  </r>
  <r>
    <n v="484"/>
    <x v="46"/>
    <n v="36"/>
    <x v="6"/>
    <s v="Clothing"/>
    <n v="416"/>
    <n v="1"/>
    <d v="2022-05-26T00:00:00"/>
    <n v="57"/>
    <s v="Male"/>
    <s v="Germany"/>
    <n v="416"/>
  </r>
  <r>
    <n v="485"/>
    <x v="55"/>
    <n v="40"/>
    <x v="6"/>
    <s v="Accessories"/>
    <n v="841"/>
    <n v="2"/>
    <d v="2022-04-21T00:00:00"/>
    <n v="59"/>
    <s v="Male"/>
    <s v="Canada"/>
    <n v="1682"/>
  </r>
  <r>
    <n v="486"/>
    <x v="89"/>
    <n v="17"/>
    <x v="5"/>
    <s v="Accessories"/>
    <n v="776"/>
    <n v="4"/>
    <d v="2022-08-16T00:00:00"/>
    <n v="42"/>
    <s v="Male"/>
    <s v="USA"/>
    <n v="3104"/>
  </r>
  <r>
    <n v="487"/>
    <x v="182"/>
    <n v="30"/>
    <x v="3"/>
    <s v="Accessories"/>
    <n v="826"/>
    <n v="2"/>
    <d v="2022-04-21T00:00:00"/>
    <n v="56"/>
    <s v="Male"/>
    <s v="Canada"/>
    <n v="1652"/>
  </r>
  <r>
    <n v="488"/>
    <x v="76"/>
    <n v="9"/>
    <x v="0"/>
    <s v="Electronics"/>
    <n v="841"/>
    <n v="2"/>
    <d v="2022-02-03T00:00:00"/>
    <n v="52"/>
    <s v="Female"/>
    <s v="UK"/>
    <n v="1682"/>
  </r>
  <r>
    <n v="489"/>
    <x v="14"/>
    <n v="33"/>
    <x v="6"/>
    <s v="Clothing"/>
    <n v="611"/>
    <n v="3"/>
    <d v="2022-04-21T00:00:00"/>
    <n v="20"/>
    <s v="Male"/>
    <s v="Germany"/>
    <n v="1833"/>
  </r>
  <r>
    <n v="490"/>
    <x v="65"/>
    <n v="25"/>
    <x v="7"/>
    <s v="Accessories"/>
    <n v="774"/>
    <n v="1"/>
    <d v="2022-09-21T00:00:00"/>
    <n v="54"/>
    <s v="Male"/>
    <s v="Canada"/>
    <n v="774"/>
  </r>
  <r>
    <n v="491"/>
    <x v="57"/>
    <n v="14"/>
    <x v="5"/>
    <s v="Electronics"/>
    <n v="871"/>
    <n v="4"/>
    <d v="2022-08-24T00:00:00"/>
    <n v="61"/>
    <s v="Female"/>
    <s v="USA"/>
    <n v="3484"/>
  </r>
  <r>
    <n v="492"/>
    <x v="104"/>
    <n v="11"/>
    <x v="9"/>
    <s v="Clothing"/>
    <n v="614"/>
    <n v="3"/>
    <d v="2022-03-24T00:00:00"/>
    <n v="61"/>
    <s v="Female"/>
    <s v="Canada"/>
    <n v="1842"/>
  </r>
  <r>
    <n v="493"/>
    <x v="49"/>
    <n v="35"/>
    <x v="4"/>
    <s v="Electronics"/>
    <n v="130"/>
    <n v="3"/>
    <d v="2022-02-11T00:00:00"/>
    <n v="47"/>
    <s v="Female"/>
    <s v="France"/>
    <n v="390"/>
  </r>
  <r>
    <n v="494"/>
    <x v="114"/>
    <n v="41"/>
    <x v="9"/>
    <s v="Electronics"/>
    <n v="779"/>
    <n v="4"/>
    <d v="2022-04-11T00:00:00"/>
    <n v="55"/>
    <s v="Male"/>
    <s v="USA"/>
    <n v="3116"/>
  </r>
  <r>
    <n v="495"/>
    <x v="27"/>
    <n v="14"/>
    <x v="5"/>
    <s v="Accessories"/>
    <n v="774"/>
    <n v="2"/>
    <d v="2022-01-06T00:00:00"/>
    <n v="51"/>
    <s v="Male"/>
    <s v="UK"/>
    <n v="1548"/>
  </r>
  <r>
    <n v="496"/>
    <x v="137"/>
    <n v="30"/>
    <x v="2"/>
    <s v="Accessories"/>
    <n v="251"/>
    <n v="3"/>
    <d v="2022-06-29T00:00:00"/>
    <n v="29"/>
    <s v="Male"/>
    <s v="Germany"/>
    <n v="753"/>
  </r>
  <r>
    <n v="497"/>
    <x v="87"/>
    <n v="41"/>
    <x v="0"/>
    <s v="Clothing"/>
    <n v="526"/>
    <n v="2"/>
    <d v="2022-10-09T00:00:00"/>
    <n v="36"/>
    <s v="Female"/>
    <s v="Canada"/>
    <n v="1052"/>
  </r>
  <r>
    <n v="498"/>
    <x v="24"/>
    <n v="4"/>
    <x v="4"/>
    <s v="Accessories"/>
    <n v="981"/>
    <n v="1"/>
    <d v="2022-11-16T00:00:00"/>
    <n v="54"/>
    <s v="Female"/>
    <s v="USA"/>
    <n v="981"/>
  </r>
  <r>
    <n v="499"/>
    <x v="145"/>
    <n v="4"/>
    <x v="9"/>
    <s v="Electronics"/>
    <n v="871"/>
    <n v="2"/>
    <d v="2022-08-14T00:00:00"/>
    <n v="61"/>
    <s v="Male"/>
    <s v="France"/>
    <n v="1742"/>
  </r>
  <r>
    <n v="500"/>
    <x v="42"/>
    <n v="28"/>
    <x v="4"/>
    <s v="Clothing"/>
    <n v="451"/>
    <n v="1"/>
    <d v="2022-11-11T00:00:00"/>
    <n v="34"/>
    <s v="Female"/>
    <s v="USA"/>
    <n v="45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n v="1"/>
    <n v="150"/>
    <n v="9"/>
    <s v="Tablet"/>
    <s v="Electronics"/>
    <n v="611"/>
    <n v="1"/>
    <x v="0"/>
    <n v="62"/>
    <x v="0"/>
    <x v="0"/>
    <n v="611"/>
    <x v="0"/>
    <x v="0"/>
    <n v="6"/>
    <x v="0"/>
    <n v="56332"/>
    <x v="0"/>
    <n v="54020"/>
  </r>
  <r>
    <n v="2"/>
    <n v="176"/>
    <n v="36"/>
    <s v="Smartphone"/>
    <s v="Electronics"/>
    <n v="751"/>
    <n v="4"/>
    <x v="1"/>
    <n v="23"/>
    <x v="1"/>
    <x v="1"/>
    <n v="3004"/>
    <x v="1"/>
    <x v="1"/>
    <n v="6"/>
    <x v="1"/>
    <n v="61134"/>
    <x v="1"/>
    <n v="61316"/>
  </r>
  <r>
    <n v="3"/>
    <n v="37"/>
    <n v="22"/>
    <s v="Jacket"/>
    <s v="Accessories"/>
    <n v="821"/>
    <n v="4"/>
    <x v="2"/>
    <n v="54"/>
    <x v="1"/>
    <x v="2"/>
    <n v="3284"/>
    <x v="2"/>
    <x v="2"/>
    <n v="7"/>
    <x v="2"/>
    <n v="62988"/>
    <x v="2"/>
    <n v="54013"/>
  </r>
  <r>
    <n v="4"/>
    <n v="143"/>
    <n v="42"/>
    <s v="Shoes"/>
    <s v="Electronics"/>
    <n v="395"/>
    <n v="4"/>
    <x v="3"/>
    <n v="50"/>
    <x v="1"/>
    <x v="0"/>
    <n v="1580"/>
    <x v="2"/>
    <x v="3"/>
    <n v="7"/>
    <x v="3"/>
    <n v="64234"/>
    <x v="3"/>
    <n v="65379"/>
  </r>
  <r>
    <n v="5"/>
    <n v="163"/>
    <n v="26"/>
    <s v="Jacket"/>
    <s v="Accessories"/>
    <n v="301"/>
    <n v="1"/>
    <x v="4"/>
    <n v="39"/>
    <x v="1"/>
    <x v="3"/>
    <n v="301"/>
    <x v="3"/>
    <x v="4"/>
    <n v="13"/>
    <x v="4"/>
    <n v="67553"/>
    <x v="4"/>
    <n v="64927"/>
  </r>
  <r>
    <n v="6"/>
    <n v="199"/>
    <n v="12"/>
    <s v="Tablet"/>
    <s v="Clothing"/>
    <n v="130"/>
    <n v="1"/>
    <x v="5"/>
    <n v="38"/>
    <x v="0"/>
    <x v="4"/>
    <n v="130"/>
    <x v="3"/>
    <x v="5"/>
    <m/>
    <x v="5"/>
    <n v="68625"/>
    <x v="5"/>
    <n v="64948"/>
  </r>
  <r>
    <n v="7"/>
    <n v="160"/>
    <n v="17"/>
    <s v="Camera"/>
    <s v="Clothing"/>
    <n v="251"/>
    <n v="1"/>
    <x v="6"/>
    <n v="23"/>
    <x v="0"/>
    <x v="3"/>
    <n v="251"/>
    <x v="1"/>
    <x v="5"/>
    <m/>
    <x v="6"/>
    <n v="77642"/>
    <x v="6"/>
    <n v="61130"/>
  </r>
  <r>
    <n v="8"/>
    <n v="11"/>
    <n v="14"/>
    <s v="Laptop"/>
    <s v="Electronics"/>
    <n v="776"/>
    <n v="3"/>
    <x v="7"/>
    <n v="23"/>
    <x v="0"/>
    <x v="3"/>
    <n v="2328"/>
    <x v="1"/>
    <x v="5"/>
    <m/>
    <x v="7"/>
    <n v="78999"/>
    <x v="7"/>
    <n v="96241"/>
  </r>
  <r>
    <n v="9"/>
    <n v="138"/>
    <n v="14"/>
    <s v="T-shirt"/>
    <s v="Accessories"/>
    <n v="141"/>
    <n v="1"/>
    <x v="8"/>
    <n v="21"/>
    <x v="0"/>
    <x v="4"/>
    <n v="141"/>
    <x v="1"/>
    <x v="5"/>
    <m/>
    <x v="8"/>
    <n v="95243"/>
    <x v="8"/>
    <n v="66313"/>
  </r>
  <r>
    <n v="10"/>
    <n v="78"/>
    <n v="34"/>
    <s v="Smartphone"/>
    <s v="Clothing"/>
    <n v="826"/>
    <n v="1"/>
    <x v="9"/>
    <n v="47"/>
    <x v="1"/>
    <x v="3"/>
    <n v="826"/>
    <x v="4"/>
    <x v="5"/>
    <m/>
    <x v="9"/>
    <n v="99040"/>
    <x v="9"/>
    <n v="51339"/>
  </r>
  <r>
    <n v="11"/>
    <n v="77"/>
    <n v="20"/>
    <s v="Watch"/>
    <s v="Accessories"/>
    <n v="928"/>
    <n v="1"/>
    <x v="10"/>
    <n v="28"/>
    <x v="0"/>
    <x v="0"/>
    <n v="928"/>
    <x v="1"/>
    <x v="5"/>
    <m/>
    <x v="10"/>
    <m/>
    <x v="10"/>
    <n v="46723"/>
  </r>
  <r>
    <n v="12"/>
    <n v="185"/>
    <n v="11"/>
    <s v="Watch"/>
    <s v="Clothing"/>
    <n v="155"/>
    <n v="3"/>
    <x v="11"/>
    <n v="47"/>
    <x v="1"/>
    <x v="0"/>
    <n v="465"/>
    <x v="4"/>
    <x v="5"/>
    <m/>
    <x v="10"/>
    <m/>
    <x v="11"/>
    <n v="45441"/>
  </r>
  <r>
    <n v="13"/>
    <n v="153"/>
    <n v="16"/>
    <s v="Watch"/>
    <s v="Electronics"/>
    <n v="776"/>
    <n v="1"/>
    <x v="12"/>
    <n v="48"/>
    <x v="1"/>
    <x v="0"/>
    <n v="776"/>
    <x v="4"/>
    <x v="5"/>
    <m/>
    <x v="10"/>
    <m/>
    <x v="12"/>
    <m/>
  </r>
  <r>
    <n v="14"/>
    <n v="2"/>
    <n v="31"/>
    <s v="Headphones"/>
    <s v="Accessories"/>
    <n v="611"/>
    <n v="4"/>
    <x v="13"/>
    <n v="41"/>
    <x v="1"/>
    <x v="4"/>
    <n v="2444"/>
    <x v="4"/>
    <x v="5"/>
    <m/>
    <x v="10"/>
    <m/>
    <x v="12"/>
    <m/>
  </r>
  <r>
    <n v="15"/>
    <n v="64"/>
    <n v="6"/>
    <s v="Watch"/>
    <s v="Accessories"/>
    <n v="912"/>
    <n v="1"/>
    <x v="14"/>
    <n v="26"/>
    <x v="1"/>
    <x v="3"/>
    <n v="912"/>
    <x v="1"/>
    <x v="5"/>
    <m/>
    <x v="10"/>
    <m/>
    <x v="12"/>
    <m/>
  </r>
  <r>
    <n v="16"/>
    <n v="35"/>
    <n v="19"/>
    <s v="T-shirt"/>
    <s v="Electronics"/>
    <n v="751"/>
    <n v="4"/>
    <x v="15"/>
    <n v="20"/>
    <x v="1"/>
    <x v="4"/>
    <n v="3004"/>
    <x v="1"/>
    <x v="5"/>
    <m/>
    <x v="10"/>
    <m/>
    <x v="12"/>
    <m/>
  </r>
  <r>
    <n v="17"/>
    <n v="7"/>
    <n v="37"/>
    <s v="Laptop"/>
    <s v="Clothing"/>
    <n v="779"/>
    <n v="4"/>
    <x v="16"/>
    <n v="48"/>
    <x v="0"/>
    <x v="0"/>
    <n v="3116"/>
    <x v="4"/>
    <x v="5"/>
    <m/>
    <x v="10"/>
    <m/>
    <x v="12"/>
    <m/>
  </r>
  <r>
    <n v="18"/>
    <n v="85"/>
    <n v="4"/>
    <s v="Watch"/>
    <s v="Clothing"/>
    <n v="477"/>
    <n v="4"/>
    <x v="17"/>
    <n v="57"/>
    <x v="0"/>
    <x v="3"/>
    <n v="1908"/>
    <x v="2"/>
    <x v="5"/>
    <m/>
    <x v="10"/>
    <m/>
    <x v="12"/>
    <m/>
  </r>
  <r>
    <n v="19"/>
    <n v="146"/>
    <n v="47"/>
    <s v="Jacket"/>
    <s v="Clothing"/>
    <n v="84"/>
    <n v="3"/>
    <x v="18"/>
    <n v="54"/>
    <x v="0"/>
    <x v="3"/>
    <n v="252"/>
    <x v="2"/>
    <x v="5"/>
    <m/>
    <x v="10"/>
    <m/>
    <x v="12"/>
    <m/>
  </r>
  <r>
    <n v="20"/>
    <n v="67"/>
    <n v="4"/>
    <s v="Jacket"/>
    <s v="Accessories"/>
    <n v="141"/>
    <n v="3"/>
    <x v="19"/>
    <n v="53"/>
    <x v="0"/>
    <x v="5"/>
    <n v="423"/>
    <x v="2"/>
    <x v="5"/>
    <m/>
    <x v="10"/>
    <m/>
    <x v="12"/>
    <m/>
  </r>
  <r>
    <n v="21"/>
    <n v="42"/>
    <n v="20"/>
    <s v="Headphones"/>
    <s v="Accessories"/>
    <n v="141"/>
    <n v="3"/>
    <x v="20"/>
    <n v="41"/>
    <x v="1"/>
    <x v="5"/>
    <n v="423"/>
    <x v="4"/>
    <x v="5"/>
    <m/>
    <x v="10"/>
    <m/>
    <x v="12"/>
    <m/>
  </r>
  <r>
    <n v="22"/>
    <n v="118"/>
    <n v="10"/>
    <s v="T-shirt"/>
    <s v="Accessories"/>
    <n v="51"/>
    <n v="1"/>
    <x v="21"/>
    <n v="48"/>
    <x v="0"/>
    <x v="1"/>
    <n v="51"/>
    <x v="4"/>
    <x v="5"/>
    <m/>
    <x v="10"/>
    <m/>
    <x v="12"/>
    <m/>
  </r>
  <r>
    <n v="23"/>
    <n v="125"/>
    <n v="24"/>
    <s v="Laptop"/>
    <s v="Clothing"/>
    <n v="614"/>
    <n v="4"/>
    <x v="22"/>
    <n v="23"/>
    <x v="1"/>
    <x v="2"/>
    <n v="2456"/>
    <x v="1"/>
    <x v="5"/>
    <m/>
    <x v="10"/>
    <m/>
    <x v="12"/>
    <m/>
  </r>
  <r>
    <n v="24"/>
    <n v="167"/>
    <n v="35"/>
    <s v="Smartphone"/>
    <s v="Accessories"/>
    <n v="611"/>
    <n v="3"/>
    <x v="23"/>
    <n v="19"/>
    <x v="0"/>
    <x v="5"/>
    <n v="1833"/>
    <x v="5"/>
    <x v="5"/>
    <m/>
    <x v="10"/>
    <m/>
    <x v="12"/>
    <m/>
  </r>
  <r>
    <n v="25"/>
    <n v="169"/>
    <n v="26"/>
    <s v="Tablet"/>
    <s v="Electronics"/>
    <n v="841"/>
    <n v="3"/>
    <x v="24"/>
    <n v="37"/>
    <x v="1"/>
    <x v="4"/>
    <n v="2523"/>
    <x v="3"/>
    <x v="5"/>
    <m/>
    <x v="10"/>
    <m/>
    <x v="12"/>
    <m/>
  </r>
  <r>
    <n v="26"/>
    <n v="24"/>
    <n v="37"/>
    <s v="Laptop"/>
    <s v="Electronics"/>
    <n v="992"/>
    <n v="1"/>
    <x v="25"/>
    <n v="45"/>
    <x v="1"/>
    <x v="5"/>
    <n v="992"/>
    <x v="4"/>
    <x v="5"/>
    <m/>
    <x v="10"/>
    <m/>
    <x v="12"/>
    <m/>
  </r>
  <r>
    <n v="27"/>
    <n v="188"/>
    <n v="38"/>
    <s v="Tablet"/>
    <s v="Accessories"/>
    <n v="102"/>
    <n v="3"/>
    <x v="26"/>
    <n v="28"/>
    <x v="0"/>
    <x v="1"/>
    <n v="306"/>
    <x v="1"/>
    <x v="5"/>
    <m/>
    <x v="10"/>
    <m/>
    <x v="12"/>
    <m/>
  </r>
  <r>
    <n v="28"/>
    <n v="46"/>
    <n v="21"/>
    <s v="Camera"/>
    <s v="Electronics"/>
    <n v="928"/>
    <n v="1"/>
    <x v="27"/>
    <n v="21"/>
    <x v="1"/>
    <x v="3"/>
    <n v="928"/>
    <x v="1"/>
    <x v="5"/>
    <m/>
    <x v="10"/>
    <m/>
    <x v="12"/>
    <m/>
  </r>
  <r>
    <n v="29"/>
    <n v="19"/>
    <n v="40"/>
    <s v="Tablet"/>
    <s v="Accessories"/>
    <n v="798"/>
    <n v="2"/>
    <x v="28"/>
    <n v="32"/>
    <x v="1"/>
    <x v="1"/>
    <n v="1596"/>
    <x v="3"/>
    <x v="5"/>
    <m/>
    <x v="10"/>
    <m/>
    <x v="12"/>
    <m/>
  </r>
  <r>
    <n v="30"/>
    <n v="68"/>
    <n v="39"/>
    <s v="Shoes"/>
    <s v="Clothing"/>
    <n v="826"/>
    <n v="3"/>
    <x v="18"/>
    <n v="23"/>
    <x v="0"/>
    <x v="3"/>
    <n v="2478"/>
    <x v="1"/>
    <x v="5"/>
    <m/>
    <x v="10"/>
    <m/>
    <x v="12"/>
    <m/>
  </r>
  <r>
    <n v="31"/>
    <n v="102"/>
    <n v="21"/>
    <s v="Jacket"/>
    <s v="Electronics"/>
    <n v="611"/>
    <n v="2"/>
    <x v="29"/>
    <n v="47"/>
    <x v="1"/>
    <x v="3"/>
    <n v="1222"/>
    <x v="4"/>
    <x v="5"/>
    <m/>
    <x v="10"/>
    <m/>
    <x v="12"/>
    <m/>
  </r>
  <r>
    <n v="32"/>
    <n v="42"/>
    <n v="10"/>
    <s v="T-shirt"/>
    <s v="Clothing"/>
    <n v="614"/>
    <n v="1"/>
    <x v="30"/>
    <n v="55"/>
    <x v="0"/>
    <x v="2"/>
    <n v="614"/>
    <x v="2"/>
    <x v="5"/>
    <m/>
    <x v="10"/>
    <m/>
    <x v="12"/>
    <m/>
  </r>
  <r>
    <n v="33"/>
    <n v="32"/>
    <n v="38"/>
    <s v="Sunglasses"/>
    <s v="Accessories"/>
    <n v="526"/>
    <n v="4"/>
    <x v="31"/>
    <n v="19"/>
    <x v="0"/>
    <x v="5"/>
    <n v="2104"/>
    <x v="5"/>
    <x v="5"/>
    <m/>
    <x v="10"/>
    <m/>
    <x v="12"/>
    <m/>
  </r>
  <r>
    <n v="34"/>
    <n v="167"/>
    <n v="46"/>
    <s v="Headphones"/>
    <s v="Accessories"/>
    <n v="130"/>
    <n v="3"/>
    <x v="32"/>
    <n v="32"/>
    <x v="0"/>
    <x v="4"/>
    <n v="390"/>
    <x v="3"/>
    <x v="5"/>
    <m/>
    <x v="10"/>
    <m/>
    <x v="12"/>
    <m/>
  </r>
  <r>
    <n v="35"/>
    <n v="109"/>
    <n v="4"/>
    <s v="Shoes"/>
    <s v="Electronics"/>
    <n v="320"/>
    <n v="1"/>
    <x v="33"/>
    <n v="28"/>
    <x v="1"/>
    <x v="4"/>
    <n v="320"/>
    <x v="1"/>
    <x v="5"/>
    <m/>
    <x v="10"/>
    <m/>
    <x v="12"/>
    <m/>
  </r>
  <r>
    <n v="36"/>
    <n v="36"/>
    <n v="45"/>
    <s v="Tablet"/>
    <s v="Electronics"/>
    <n v="251"/>
    <n v="4"/>
    <x v="34"/>
    <n v="25"/>
    <x v="1"/>
    <x v="0"/>
    <n v="1004"/>
    <x v="1"/>
    <x v="5"/>
    <m/>
    <x v="10"/>
    <m/>
    <x v="12"/>
    <m/>
  </r>
  <r>
    <n v="37"/>
    <n v="97"/>
    <n v="20"/>
    <s v="Watch"/>
    <s v="Accessories"/>
    <n v="251"/>
    <n v="4"/>
    <x v="35"/>
    <n v="43"/>
    <x v="1"/>
    <x v="3"/>
    <n v="1004"/>
    <x v="4"/>
    <x v="5"/>
    <m/>
    <x v="10"/>
    <m/>
    <x v="12"/>
    <m/>
  </r>
  <r>
    <n v="38"/>
    <n v="164"/>
    <n v="17"/>
    <s v="T-shirt"/>
    <s v="Electronics"/>
    <n v="947"/>
    <n v="2"/>
    <x v="36"/>
    <n v="62"/>
    <x v="0"/>
    <x v="4"/>
    <n v="1894"/>
    <x v="0"/>
    <x v="5"/>
    <m/>
    <x v="10"/>
    <m/>
    <x v="12"/>
    <m/>
  </r>
  <r>
    <n v="39"/>
    <n v="131"/>
    <n v="7"/>
    <s v="Shoes"/>
    <s v="Electronics"/>
    <n v="921"/>
    <n v="1"/>
    <x v="37"/>
    <n v="61"/>
    <x v="1"/>
    <x v="2"/>
    <n v="921"/>
    <x v="0"/>
    <x v="5"/>
    <m/>
    <x v="10"/>
    <m/>
    <x v="12"/>
    <m/>
  </r>
  <r>
    <n v="40"/>
    <n v="73"/>
    <n v="4"/>
    <s v="Headphones"/>
    <s v="Clothing"/>
    <n v="841"/>
    <n v="4"/>
    <x v="38"/>
    <n v="22"/>
    <x v="0"/>
    <x v="3"/>
    <n v="3364"/>
    <x v="1"/>
    <x v="5"/>
    <m/>
    <x v="10"/>
    <m/>
    <x v="12"/>
    <m/>
  </r>
  <r>
    <n v="41"/>
    <n v="136"/>
    <n v="29"/>
    <s v="Jacket"/>
    <s v="Accessories"/>
    <n v="437"/>
    <n v="3"/>
    <x v="39"/>
    <n v="23"/>
    <x v="0"/>
    <x v="2"/>
    <n v="1311"/>
    <x v="1"/>
    <x v="5"/>
    <m/>
    <x v="10"/>
    <m/>
    <x v="12"/>
    <m/>
  </r>
  <r>
    <n v="42"/>
    <n v="97"/>
    <n v="14"/>
    <s v="T-shirt"/>
    <s v="Electronics"/>
    <n v="774"/>
    <n v="3"/>
    <x v="40"/>
    <n v="43"/>
    <x v="1"/>
    <x v="4"/>
    <n v="2322"/>
    <x v="4"/>
    <x v="5"/>
    <m/>
    <x v="10"/>
    <m/>
    <x v="12"/>
    <m/>
  </r>
  <r>
    <n v="43"/>
    <n v="123"/>
    <n v="3"/>
    <s v="Headphones"/>
    <s v="Clothing"/>
    <n v="865"/>
    <n v="2"/>
    <x v="41"/>
    <n v="21"/>
    <x v="0"/>
    <x v="4"/>
    <n v="1730"/>
    <x v="1"/>
    <x v="5"/>
    <m/>
    <x v="10"/>
    <m/>
    <x v="12"/>
    <m/>
  </r>
  <r>
    <n v="44"/>
    <n v="70"/>
    <n v="24"/>
    <s v="Camera"/>
    <s v="Clothing"/>
    <n v="301"/>
    <n v="4"/>
    <x v="42"/>
    <n v="36"/>
    <x v="1"/>
    <x v="0"/>
    <n v="1204"/>
    <x v="3"/>
    <x v="5"/>
    <m/>
    <x v="10"/>
    <m/>
    <x v="12"/>
    <m/>
  </r>
  <r>
    <n v="45"/>
    <n v="169"/>
    <n v="37"/>
    <s v="Camera"/>
    <s v="Electronics"/>
    <n v="255"/>
    <n v="1"/>
    <x v="43"/>
    <n v="37"/>
    <x v="1"/>
    <x v="4"/>
    <n v="255"/>
    <x v="3"/>
    <x v="5"/>
    <m/>
    <x v="10"/>
    <m/>
    <x v="12"/>
    <m/>
  </r>
  <r>
    <n v="46"/>
    <n v="196"/>
    <n v="16"/>
    <s v="Headphones"/>
    <s v="Electronics"/>
    <n v="319"/>
    <n v="3"/>
    <x v="44"/>
    <n v="50"/>
    <x v="1"/>
    <x v="3"/>
    <n v="957"/>
    <x v="2"/>
    <x v="5"/>
    <m/>
    <x v="10"/>
    <m/>
    <x v="12"/>
    <m/>
  </r>
  <r>
    <n v="47"/>
    <n v="13"/>
    <n v="4"/>
    <s v="Shoes"/>
    <s v="Accessories"/>
    <n v="255"/>
    <n v="4"/>
    <x v="45"/>
    <n v="37"/>
    <x v="1"/>
    <x v="3"/>
    <n v="1020"/>
    <x v="3"/>
    <x v="5"/>
    <m/>
    <x v="10"/>
    <m/>
    <x v="12"/>
    <m/>
  </r>
  <r>
    <n v="48"/>
    <n v="49"/>
    <n v="24"/>
    <s v="T-shirt"/>
    <s v="Accessories"/>
    <n v="912"/>
    <n v="4"/>
    <x v="36"/>
    <n v="29"/>
    <x v="1"/>
    <x v="3"/>
    <n v="3648"/>
    <x v="1"/>
    <x v="5"/>
    <m/>
    <x v="10"/>
    <m/>
    <x v="12"/>
    <m/>
  </r>
  <r>
    <n v="49"/>
    <n v="60"/>
    <n v="34"/>
    <s v="Shoes"/>
    <s v="Accessories"/>
    <n v="947"/>
    <n v="2"/>
    <x v="8"/>
    <n v="64"/>
    <x v="0"/>
    <x v="0"/>
    <n v="1894"/>
    <x v="0"/>
    <x v="5"/>
    <m/>
    <x v="10"/>
    <m/>
    <x v="12"/>
    <m/>
  </r>
  <r>
    <n v="50"/>
    <n v="130"/>
    <n v="30"/>
    <s v="Smartphone"/>
    <s v="Accessories"/>
    <n v="821"/>
    <n v="3"/>
    <x v="46"/>
    <n v="18"/>
    <x v="0"/>
    <x v="0"/>
    <n v="2463"/>
    <x v="5"/>
    <x v="5"/>
    <m/>
    <x v="10"/>
    <m/>
    <x v="12"/>
    <m/>
  </r>
  <r>
    <n v="51"/>
    <n v="188"/>
    <n v="18"/>
    <s v="Tablet"/>
    <s v="Electronics"/>
    <n v="779"/>
    <n v="3"/>
    <x v="47"/>
    <n v="43"/>
    <x v="0"/>
    <x v="4"/>
    <n v="2337"/>
    <x v="4"/>
    <x v="5"/>
    <m/>
    <x v="10"/>
    <m/>
    <x v="12"/>
    <m/>
  </r>
  <r>
    <n v="52"/>
    <n v="5"/>
    <n v="19"/>
    <s v="Smartphone"/>
    <s v="Clothing"/>
    <n v="437"/>
    <n v="1"/>
    <x v="42"/>
    <n v="31"/>
    <x v="1"/>
    <x v="1"/>
    <n v="437"/>
    <x v="3"/>
    <x v="5"/>
    <m/>
    <x v="10"/>
    <m/>
    <x v="12"/>
    <m/>
  </r>
  <r>
    <n v="53"/>
    <n v="172"/>
    <n v="31"/>
    <s v="Camera"/>
    <s v="Clothing"/>
    <n v="141"/>
    <n v="3"/>
    <x v="48"/>
    <n v="55"/>
    <x v="1"/>
    <x v="1"/>
    <n v="423"/>
    <x v="2"/>
    <x v="5"/>
    <m/>
    <x v="10"/>
    <m/>
    <x v="12"/>
    <m/>
  </r>
  <r>
    <n v="54"/>
    <n v="27"/>
    <n v="19"/>
    <s v="Jacket"/>
    <s v="Electronics"/>
    <n v="319"/>
    <n v="1"/>
    <x v="9"/>
    <n v="54"/>
    <x v="1"/>
    <x v="0"/>
    <n v="319"/>
    <x v="2"/>
    <x v="5"/>
    <m/>
    <x v="10"/>
    <m/>
    <x v="12"/>
    <m/>
  </r>
  <r>
    <n v="55"/>
    <n v="160"/>
    <n v="49"/>
    <s v="Laptop"/>
    <s v="Clothing"/>
    <n v="841"/>
    <n v="3"/>
    <x v="49"/>
    <n v="28"/>
    <x v="0"/>
    <x v="4"/>
    <n v="2523"/>
    <x v="1"/>
    <x v="5"/>
    <m/>
    <x v="10"/>
    <m/>
    <x v="12"/>
    <m/>
  </r>
  <r>
    <n v="56"/>
    <n v="149"/>
    <n v="46"/>
    <s v="Tablet"/>
    <s v="Electronics"/>
    <n v="301"/>
    <n v="2"/>
    <x v="45"/>
    <n v="53"/>
    <x v="1"/>
    <x v="1"/>
    <n v="602"/>
    <x v="2"/>
    <x v="5"/>
    <m/>
    <x v="10"/>
    <m/>
    <x v="12"/>
    <m/>
  </r>
  <r>
    <n v="57"/>
    <n v="8"/>
    <n v="19"/>
    <s v="Camera"/>
    <s v="Electronics"/>
    <n v="437"/>
    <n v="3"/>
    <x v="50"/>
    <n v="30"/>
    <x v="0"/>
    <x v="4"/>
    <n v="1311"/>
    <x v="3"/>
    <x v="5"/>
    <m/>
    <x v="10"/>
    <m/>
    <x v="12"/>
    <m/>
  </r>
  <r>
    <n v="58"/>
    <n v="200"/>
    <n v="22"/>
    <s v="Shoes"/>
    <s v="Clothing"/>
    <n v="826"/>
    <n v="1"/>
    <x v="51"/>
    <n v="60"/>
    <x v="0"/>
    <x v="4"/>
    <n v="826"/>
    <x v="0"/>
    <x v="5"/>
    <m/>
    <x v="10"/>
    <m/>
    <x v="12"/>
    <m/>
  </r>
  <r>
    <n v="59"/>
    <n v="50"/>
    <n v="24"/>
    <s v="Shoes"/>
    <s v="Accessories"/>
    <n v="389"/>
    <n v="1"/>
    <x v="52"/>
    <n v="20"/>
    <x v="1"/>
    <x v="4"/>
    <n v="389"/>
    <x v="1"/>
    <x v="5"/>
    <m/>
    <x v="10"/>
    <m/>
    <x v="12"/>
    <m/>
  </r>
  <r>
    <n v="60"/>
    <n v="67"/>
    <n v="45"/>
    <s v="Shoes"/>
    <s v="Clothing"/>
    <n v="752"/>
    <n v="2"/>
    <x v="53"/>
    <n v="50"/>
    <x v="1"/>
    <x v="5"/>
    <n v="1504"/>
    <x v="2"/>
    <x v="5"/>
    <m/>
    <x v="10"/>
    <m/>
    <x v="12"/>
    <m/>
  </r>
  <r>
    <n v="61"/>
    <n v="44"/>
    <n v="12"/>
    <s v="Jacket"/>
    <s v="Clothing"/>
    <n v="981"/>
    <n v="3"/>
    <x v="21"/>
    <n v="23"/>
    <x v="0"/>
    <x v="3"/>
    <n v="2943"/>
    <x v="1"/>
    <x v="5"/>
    <m/>
    <x v="10"/>
    <m/>
    <x v="12"/>
    <m/>
  </r>
  <r>
    <n v="62"/>
    <n v="125"/>
    <n v="30"/>
    <s v="Smartphone"/>
    <s v="Accessories"/>
    <n v="141"/>
    <n v="3"/>
    <x v="54"/>
    <n v="27"/>
    <x v="1"/>
    <x v="4"/>
    <n v="423"/>
    <x v="1"/>
    <x v="5"/>
    <m/>
    <x v="10"/>
    <m/>
    <x v="12"/>
    <m/>
  </r>
  <r>
    <n v="63"/>
    <n v="58"/>
    <n v="38"/>
    <s v="Laptop"/>
    <s v="Clothing"/>
    <n v="301"/>
    <n v="2"/>
    <x v="55"/>
    <n v="22"/>
    <x v="0"/>
    <x v="5"/>
    <n v="602"/>
    <x v="1"/>
    <x v="5"/>
    <m/>
    <x v="10"/>
    <m/>
    <x v="12"/>
    <m/>
  </r>
  <r>
    <n v="64"/>
    <n v="3"/>
    <n v="31"/>
    <s v="Shoes"/>
    <s v="Clothing"/>
    <n v="84"/>
    <n v="3"/>
    <x v="56"/>
    <n v="40"/>
    <x v="1"/>
    <x v="0"/>
    <n v="252"/>
    <x v="4"/>
    <x v="5"/>
    <m/>
    <x v="10"/>
    <m/>
    <x v="12"/>
    <m/>
  </r>
  <r>
    <n v="65"/>
    <n v="86"/>
    <n v="36"/>
    <s v="Sunglasses"/>
    <s v="Accessories"/>
    <n v="102"/>
    <n v="3"/>
    <x v="57"/>
    <n v="27"/>
    <x v="1"/>
    <x v="1"/>
    <n v="306"/>
    <x v="1"/>
    <x v="5"/>
    <m/>
    <x v="10"/>
    <m/>
    <x v="12"/>
    <m/>
  </r>
  <r>
    <n v="66"/>
    <n v="70"/>
    <n v="19"/>
    <s v="Tablet"/>
    <s v="Accessories"/>
    <n v="865"/>
    <n v="1"/>
    <x v="58"/>
    <n v="61"/>
    <x v="0"/>
    <x v="3"/>
    <n v="865"/>
    <x v="0"/>
    <x v="5"/>
    <m/>
    <x v="10"/>
    <m/>
    <x v="12"/>
    <m/>
  </r>
  <r>
    <n v="67"/>
    <n v="130"/>
    <n v="48"/>
    <s v="T-shirt"/>
    <s v="Electronics"/>
    <n v="437"/>
    <n v="3"/>
    <x v="59"/>
    <n v="19"/>
    <x v="1"/>
    <x v="1"/>
    <n v="1311"/>
    <x v="5"/>
    <x v="5"/>
    <m/>
    <x v="10"/>
    <m/>
    <x v="12"/>
    <m/>
  </r>
  <r>
    <n v="68"/>
    <n v="172"/>
    <n v="45"/>
    <s v="Sunglasses"/>
    <s v="Electronics"/>
    <n v="992"/>
    <n v="3"/>
    <x v="60"/>
    <n v="30"/>
    <x v="0"/>
    <x v="3"/>
    <n v="2976"/>
    <x v="3"/>
    <x v="5"/>
    <m/>
    <x v="10"/>
    <m/>
    <x v="12"/>
    <m/>
  </r>
  <r>
    <n v="69"/>
    <n v="2"/>
    <n v="36"/>
    <s v="Laptop"/>
    <s v="Electronics"/>
    <n v="981"/>
    <n v="2"/>
    <x v="61"/>
    <n v="57"/>
    <x v="1"/>
    <x v="1"/>
    <n v="1962"/>
    <x v="2"/>
    <x v="5"/>
    <m/>
    <x v="10"/>
    <m/>
    <x v="12"/>
    <m/>
  </r>
  <r>
    <n v="70"/>
    <n v="102"/>
    <n v="30"/>
    <s v="Jacket"/>
    <s v="Electronics"/>
    <n v="774"/>
    <n v="2"/>
    <x v="62"/>
    <n v="19"/>
    <x v="0"/>
    <x v="3"/>
    <n v="1548"/>
    <x v="5"/>
    <x v="5"/>
    <m/>
    <x v="10"/>
    <m/>
    <x v="12"/>
    <m/>
  </r>
  <r>
    <n v="71"/>
    <n v="35"/>
    <n v="49"/>
    <s v="Laptop"/>
    <s v="Accessories"/>
    <n v="558"/>
    <n v="4"/>
    <x v="63"/>
    <n v="37"/>
    <x v="0"/>
    <x v="1"/>
    <n v="2232"/>
    <x v="3"/>
    <x v="5"/>
    <m/>
    <x v="10"/>
    <m/>
    <x v="12"/>
    <m/>
  </r>
  <r>
    <n v="72"/>
    <n v="98"/>
    <n v="33"/>
    <s v="T-shirt"/>
    <s v="Accessories"/>
    <n v="871"/>
    <n v="1"/>
    <x v="64"/>
    <n v="18"/>
    <x v="1"/>
    <x v="1"/>
    <n v="871"/>
    <x v="5"/>
    <x v="5"/>
    <m/>
    <x v="10"/>
    <m/>
    <x v="12"/>
    <m/>
  </r>
  <r>
    <n v="73"/>
    <n v="30"/>
    <n v="18"/>
    <s v="Tablet"/>
    <s v="Accessories"/>
    <n v="51"/>
    <n v="3"/>
    <x v="65"/>
    <n v="54"/>
    <x v="0"/>
    <x v="1"/>
    <n v="153"/>
    <x v="2"/>
    <x v="5"/>
    <m/>
    <x v="10"/>
    <m/>
    <x v="12"/>
    <m/>
  </r>
  <r>
    <n v="74"/>
    <n v="116"/>
    <n v="49"/>
    <s v="T-shirt"/>
    <s v="Clothing"/>
    <n v="211"/>
    <n v="3"/>
    <x v="66"/>
    <n v="26"/>
    <x v="1"/>
    <x v="1"/>
    <n v="633"/>
    <x v="1"/>
    <x v="5"/>
    <m/>
    <x v="10"/>
    <m/>
    <x v="12"/>
    <m/>
  </r>
  <r>
    <n v="75"/>
    <n v="8"/>
    <n v="28"/>
    <s v="Headphones"/>
    <s v="Electronics"/>
    <n v="947"/>
    <n v="4"/>
    <x v="67"/>
    <n v="34"/>
    <x v="1"/>
    <x v="0"/>
    <n v="3788"/>
    <x v="3"/>
    <x v="5"/>
    <m/>
    <x v="10"/>
    <m/>
    <x v="12"/>
    <m/>
  </r>
  <r>
    <n v="76"/>
    <n v="150"/>
    <n v="47"/>
    <s v="Tablet"/>
    <s v="Accessories"/>
    <n v="769"/>
    <n v="3"/>
    <x v="68"/>
    <n v="26"/>
    <x v="1"/>
    <x v="4"/>
    <n v="2307"/>
    <x v="1"/>
    <x v="5"/>
    <m/>
    <x v="10"/>
    <m/>
    <x v="12"/>
    <m/>
  </r>
  <r>
    <n v="77"/>
    <n v="44"/>
    <n v="11"/>
    <s v="Laptop"/>
    <s v="Accessories"/>
    <n v="155"/>
    <n v="1"/>
    <x v="69"/>
    <n v="28"/>
    <x v="0"/>
    <x v="2"/>
    <n v="155"/>
    <x v="1"/>
    <x v="5"/>
    <m/>
    <x v="10"/>
    <m/>
    <x v="12"/>
    <m/>
  </r>
  <r>
    <n v="78"/>
    <n v="186"/>
    <n v="45"/>
    <s v="Shoes"/>
    <s v="Electronics"/>
    <n v="395"/>
    <n v="4"/>
    <x v="27"/>
    <n v="32"/>
    <x v="0"/>
    <x v="5"/>
    <n v="1580"/>
    <x v="3"/>
    <x v="5"/>
    <m/>
    <x v="10"/>
    <m/>
    <x v="12"/>
    <m/>
  </r>
  <r>
    <n v="79"/>
    <n v="36"/>
    <n v="33"/>
    <s v="Laptop"/>
    <s v="Clothing"/>
    <n v="615"/>
    <n v="1"/>
    <x v="70"/>
    <n v="41"/>
    <x v="1"/>
    <x v="2"/>
    <n v="615"/>
    <x v="4"/>
    <x v="5"/>
    <m/>
    <x v="10"/>
    <m/>
    <x v="12"/>
    <m/>
  </r>
  <r>
    <n v="80"/>
    <n v="197"/>
    <n v="17"/>
    <s v="Laptop"/>
    <s v="Accessories"/>
    <n v="505"/>
    <n v="4"/>
    <x v="71"/>
    <n v="55"/>
    <x v="1"/>
    <x v="2"/>
    <n v="2020"/>
    <x v="2"/>
    <x v="5"/>
    <m/>
    <x v="10"/>
    <m/>
    <x v="12"/>
    <m/>
  </r>
  <r>
    <n v="81"/>
    <n v="77"/>
    <n v="6"/>
    <s v="Tablet"/>
    <s v="Electronics"/>
    <n v="504"/>
    <n v="4"/>
    <x v="72"/>
    <n v="52"/>
    <x v="0"/>
    <x v="3"/>
    <n v="2016"/>
    <x v="2"/>
    <x v="5"/>
    <m/>
    <x v="10"/>
    <m/>
    <x v="12"/>
    <m/>
  </r>
  <r>
    <n v="82"/>
    <n v="31"/>
    <n v="4"/>
    <s v="Headphones"/>
    <s v="Clothing"/>
    <n v="416"/>
    <n v="2"/>
    <x v="73"/>
    <n v="47"/>
    <x v="1"/>
    <x v="4"/>
    <n v="832"/>
    <x v="4"/>
    <x v="5"/>
    <m/>
    <x v="10"/>
    <m/>
    <x v="12"/>
    <m/>
  </r>
  <r>
    <n v="83"/>
    <n v="47"/>
    <n v="20"/>
    <s v="Laptop"/>
    <s v="Accessories"/>
    <n v="255"/>
    <n v="1"/>
    <x v="74"/>
    <n v="48"/>
    <x v="1"/>
    <x v="3"/>
    <n v="255"/>
    <x v="4"/>
    <x v="5"/>
    <m/>
    <x v="10"/>
    <m/>
    <x v="12"/>
    <m/>
  </r>
  <r>
    <n v="84"/>
    <n v="55"/>
    <n v="48"/>
    <s v="Sunglasses"/>
    <s v="Accessories"/>
    <n v="614"/>
    <n v="3"/>
    <x v="75"/>
    <n v="22"/>
    <x v="0"/>
    <x v="4"/>
    <n v="1842"/>
    <x v="1"/>
    <x v="5"/>
    <m/>
    <x v="10"/>
    <m/>
    <x v="12"/>
    <m/>
  </r>
  <r>
    <n v="85"/>
    <n v="106"/>
    <n v="47"/>
    <s v="Camera"/>
    <s v="Electronics"/>
    <n v="971"/>
    <n v="3"/>
    <x v="76"/>
    <n v="61"/>
    <x v="1"/>
    <x v="4"/>
    <n v="2913"/>
    <x v="0"/>
    <x v="5"/>
    <m/>
    <x v="10"/>
    <m/>
    <x v="12"/>
    <m/>
  </r>
  <r>
    <n v="86"/>
    <n v="190"/>
    <n v="27"/>
    <s v="Watch"/>
    <s v="Accessories"/>
    <n v="981"/>
    <n v="1"/>
    <x v="77"/>
    <n v="31"/>
    <x v="0"/>
    <x v="1"/>
    <n v="981"/>
    <x v="3"/>
    <x v="5"/>
    <m/>
    <x v="10"/>
    <m/>
    <x v="12"/>
    <m/>
  </r>
  <r>
    <n v="87"/>
    <n v="158"/>
    <n v="15"/>
    <s v="Watch"/>
    <s v="Accessories"/>
    <n v="437"/>
    <n v="3"/>
    <x v="78"/>
    <n v="28"/>
    <x v="1"/>
    <x v="0"/>
    <n v="1311"/>
    <x v="1"/>
    <x v="5"/>
    <m/>
    <x v="10"/>
    <m/>
    <x v="12"/>
    <m/>
  </r>
  <r>
    <n v="88"/>
    <n v="121"/>
    <n v="6"/>
    <s v="Laptop"/>
    <s v="Clothing"/>
    <n v="921"/>
    <n v="3"/>
    <x v="79"/>
    <n v="26"/>
    <x v="0"/>
    <x v="1"/>
    <n v="2763"/>
    <x v="1"/>
    <x v="5"/>
    <m/>
    <x v="10"/>
    <m/>
    <x v="12"/>
    <m/>
  </r>
  <r>
    <n v="89"/>
    <n v="55"/>
    <n v="47"/>
    <s v="Sunglasses"/>
    <s v="Electronics"/>
    <n v="981"/>
    <n v="1"/>
    <x v="80"/>
    <n v="51"/>
    <x v="1"/>
    <x v="0"/>
    <n v="981"/>
    <x v="2"/>
    <x v="5"/>
    <m/>
    <x v="10"/>
    <m/>
    <x v="12"/>
    <m/>
  </r>
  <r>
    <n v="90"/>
    <n v="144"/>
    <n v="14"/>
    <s v="Shoes"/>
    <s v="Electronics"/>
    <n v="504"/>
    <n v="4"/>
    <x v="78"/>
    <n v="29"/>
    <x v="1"/>
    <x v="3"/>
    <n v="2016"/>
    <x v="1"/>
    <x v="5"/>
    <m/>
    <x v="10"/>
    <m/>
    <x v="12"/>
    <m/>
  </r>
  <r>
    <n v="91"/>
    <n v="12"/>
    <n v="11"/>
    <s v="Jacket"/>
    <s v="Clothing"/>
    <n v="319"/>
    <n v="1"/>
    <x v="81"/>
    <n v="52"/>
    <x v="0"/>
    <x v="0"/>
    <n v="319"/>
    <x v="2"/>
    <x v="5"/>
    <m/>
    <x v="10"/>
    <m/>
    <x v="12"/>
    <m/>
  </r>
  <r>
    <n v="92"/>
    <n v="145"/>
    <n v="39"/>
    <s v="Jacket"/>
    <s v="Clothing"/>
    <n v="841"/>
    <n v="4"/>
    <x v="82"/>
    <n v="52"/>
    <x v="1"/>
    <x v="3"/>
    <n v="3364"/>
    <x v="2"/>
    <x v="5"/>
    <m/>
    <x v="10"/>
    <m/>
    <x v="12"/>
    <m/>
  </r>
  <r>
    <n v="93"/>
    <n v="144"/>
    <n v="9"/>
    <s v="Tablet"/>
    <s v="Accessories"/>
    <n v="992"/>
    <n v="3"/>
    <x v="83"/>
    <n v="18"/>
    <x v="0"/>
    <x v="2"/>
    <n v="2976"/>
    <x v="5"/>
    <x v="5"/>
    <m/>
    <x v="10"/>
    <m/>
    <x v="12"/>
    <m/>
  </r>
  <r>
    <n v="94"/>
    <n v="140"/>
    <n v="26"/>
    <s v="Watch"/>
    <s v="Accessories"/>
    <n v="825"/>
    <n v="3"/>
    <x v="84"/>
    <n v="57"/>
    <x v="1"/>
    <x v="2"/>
    <n v="2475"/>
    <x v="2"/>
    <x v="5"/>
    <m/>
    <x v="10"/>
    <m/>
    <x v="12"/>
    <m/>
  </r>
  <r>
    <n v="95"/>
    <n v="136"/>
    <n v="16"/>
    <s v="Laptop"/>
    <s v="Accessories"/>
    <n v="389"/>
    <n v="3"/>
    <x v="85"/>
    <n v="39"/>
    <x v="0"/>
    <x v="0"/>
    <n v="1167"/>
    <x v="3"/>
    <x v="5"/>
    <m/>
    <x v="10"/>
    <m/>
    <x v="12"/>
    <m/>
  </r>
  <r>
    <n v="96"/>
    <n v="3"/>
    <n v="5"/>
    <s v="Jacket"/>
    <s v="Electronics"/>
    <n v="752"/>
    <n v="2"/>
    <x v="86"/>
    <n v="46"/>
    <x v="0"/>
    <x v="0"/>
    <n v="1504"/>
    <x v="4"/>
    <x v="5"/>
    <m/>
    <x v="10"/>
    <m/>
    <x v="12"/>
    <m/>
  </r>
  <r>
    <n v="97"/>
    <n v="144"/>
    <n v="10"/>
    <s v="Laptop"/>
    <s v="Accessories"/>
    <n v="992"/>
    <n v="4"/>
    <x v="87"/>
    <n v="25"/>
    <x v="0"/>
    <x v="3"/>
    <n v="3968"/>
    <x v="1"/>
    <x v="5"/>
    <m/>
    <x v="10"/>
    <m/>
    <x v="12"/>
    <m/>
  </r>
  <r>
    <n v="98"/>
    <n v="30"/>
    <n v="50"/>
    <s v="Tablet"/>
    <s v="Clothing"/>
    <n v="611"/>
    <n v="2"/>
    <x v="88"/>
    <n v="28"/>
    <x v="0"/>
    <x v="1"/>
    <n v="1222"/>
    <x v="1"/>
    <x v="5"/>
    <m/>
    <x v="10"/>
    <m/>
    <x v="12"/>
    <m/>
  </r>
  <r>
    <n v="99"/>
    <n v="23"/>
    <n v="3"/>
    <s v="Watch"/>
    <s v="Accessories"/>
    <n v="141"/>
    <n v="2"/>
    <x v="89"/>
    <n v="58"/>
    <x v="1"/>
    <x v="3"/>
    <n v="282"/>
    <x v="2"/>
    <x v="5"/>
    <m/>
    <x v="10"/>
    <m/>
    <x v="12"/>
    <m/>
  </r>
  <r>
    <n v="100"/>
    <n v="92"/>
    <n v="13"/>
    <s v="T-shirt"/>
    <s v="Clothing"/>
    <n v="319"/>
    <n v="1"/>
    <x v="90"/>
    <n v="54"/>
    <x v="1"/>
    <x v="1"/>
    <n v="319"/>
    <x v="2"/>
    <x v="5"/>
    <m/>
    <x v="10"/>
    <m/>
    <x v="12"/>
    <m/>
  </r>
  <r>
    <n v="101"/>
    <n v="115"/>
    <n v="43"/>
    <s v="Camera"/>
    <s v="Accessories"/>
    <n v="389"/>
    <n v="2"/>
    <x v="40"/>
    <n v="31"/>
    <x v="0"/>
    <x v="2"/>
    <n v="778"/>
    <x v="3"/>
    <x v="5"/>
    <m/>
    <x v="10"/>
    <m/>
    <x v="12"/>
    <m/>
  </r>
  <r>
    <n v="102"/>
    <n v="104"/>
    <n v="49"/>
    <s v="Camera"/>
    <s v="Clothing"/>
    <n v="451"/>
    <n v="1"/>
    <x v="17"/>
    <n v="47"/>
    <x v="0"/>
    <x v="4"/>
    <n v="451"/>
    <x v="4"/>
    <x v="5"/>
    <m/>
    <x v="10"/>
    <m/>
    <x v="12"/>
    <m/>
  </r>
  <r>
    <n v="103"/>
    <n v="118"/>
    <n v="30"/>
    <s v="Jacket"/>
    <s v="Accessories"/>
    <n v="255"/>
    <n v="1"/>
    <x v="91"/>
    <n v="52"/>
    <x v="0"/>
    <x v="0"/>
    <n v="255"/>
    <x v="2"/>
    <x v="5"/>
    <m/>
    <x v="10"/>
    <m/>
    <x v="12"/>
    <m/>
  </r>
  <r>
    <n v="104"/>
    <n v="5"/>
    <n v="45"/>
    <s v="Camera"/>
    <s v="Accessories"/>
    <n v="389"/>
    <n v="2"/>
    <x v="92"/>
    <n v="38"/>
    <x v="1"/>
    <x v="1"/>
    <n v="778"/>
    <x v="3"/>
    <x v="5"/>
    <m/>
    <x v="10"/>
    <m/>
    <x v="12"/>
    <m/>
  </r>
  <r>
    <n v="105"/>
    <n v="104"/>
    <n v="6"/>
    <s v="T-shirt"/>
    <s v="Electronics"/>
    <n v="319"/>
    <n v="4"/>
    <x v="93"/>
    <n v="54"/>
    <x v="1"/>
    <x v="3"/>
    <n v="1276"/>
    <x v="2"/>
    <x v="5"/>
    <m/>
    <x v="10"/>
    <m/>
    <x v="12"/>
    <m/>
  </r>
  <r>
    <n v="106"/>
    <n v="108"/>
    <n v="17"/>
    <s v="Laptop"/>
    <s v="Clothing"/>
    <n v="971"/>
    <n v="4"/>
    <x v="94"/>
    <n v="22"/>
    <x v="1"/>
    <x v="2"/>
    <n v="3884"/>
    <x v="1"/>
    <x v="5"/>
    <m/>
    <x v="10"/>
    <m/>
    <x v="12"/>
    <m/>
  </r>
  <r>
    <n v="107"/>
    <n v="65"/>
    <n v="45"/>
    <s v="Tablet"/>
    <s v="Electronics"/>
    <n v="102"/>
    <n v="4"/>
    <x v="9"/>
    <n v="36"/>
    <x v="1"/>
    <x v="1"/>
    <n v="408"/>
    <x v="3"/>
    <x v="5"/>
    <m/>
    <x v="10"/>
    <m/>
    <x v="12"/>
    <m/>
  </r>
  <r>
    <n v="108"/>
    <n v="121"/>
    <n v="19"/>
    <s v="T-shirt"/>
    <s v="Accessories"/>
    <n v="751"/>
    <n v="4"/>
    <x v="57"/>
    <n v="31"/>
    <x v="0"/>
    <x v="3"/>
    <n v="3004"/>
    <x v="3"/>
    <x v="5"/>
    <m/>
    <x v="10"/>
    <m/>
    <x v="12"/>
    <m/>
  </r>
  <r>
    <n v="109"/>
    <n v="30"/>
    <n v="42"/>
    <s v="Tablet"/>
    <s v="Accessories"/>
    <n v="437"/>
    <n v="4"/>
    <x v="95"/>
    <n v="43"/>
    <x v="0"/>
    <x v="0"/>
    <n v="1748"/>
    <x v="4"/>
    <x v="5"/>
    <m/>
    <x v="10"/>
    <m/>
    <x v="12"/>
    <m/>
  </r>
  <r>
    <n v="110"/>
    <n v="149"/>
    <n v="35"/>
    <s v="Tablet"/>
    <s v="Clothing"/>
    <n v="615"/>
    <n v="2"/>
    <x v="96"/>
    <n v="21"/>
    <x v="0"/>
    <x v="0"/>
    <n v="1230"/>
    <x v="1"/>
    <x v="5"/>
    <m/>
    <x v="10"/>
    <m/>
    <x v="12"/>
    <m/>
  </r>
  <r>
    <n v="111"/>
    <n v="84"/>
    <n v="46"/>
    <s v="Watch"/>
    <s v="Accessories"/>
    <n v="389"/>
    <n v="2"/>
    <x v="97"/>
    <n v="42"/>
    <x v="1"/>
    <x v="5"/>
    <n v="778"/>
    <x v="4"/>
    <x v="5"/>
    <m/>
    <x v="10"/>
    <m/>
    <x v="12"/>
    <m/>
  </r>
  <r>
    <n v="112"/>
    <n v="198"/>
    <n v="26"/>
    <s v="Laptop"/>
    <s v="Electronics"/>
    <n v="395"/>
    <n v="3"/>
    <x v="98"/>
    <n v="62"/>
    <x v="1"/>
    <x v="4"/>
    <n v="1185"/>
    <x v="0"/>
    <x v="5"/>
    <m/>
    <x v="10"/>
    <m/>
    <x v="12"/>
    <m/>
  </r>
  <r>
    <n v="113"/>
    <n v="150"/>
    <n v="5"/>
    <s v="Sunglasses"/>
    <s v="Clothing"/>
    <n v="605"/>
    <n v="4"/>
    <x v="63"/>
    <n v="59"/>
    <x v="1"/>
    <x v="5"/>
    <n v="2420"/>
    <x v="2"/>
    <x v="5"/>
    <m/>
    <x v="10"/>
    <m/>
    <x v="12"/>
    <m/>
  </r>
  <r>
    <n v="114"/>
    <n v="200"/>
    <n v="29"/>
    <s v="Camera"/>
    <s v="Clothing"/>
    <n v="928"/>
    <n v="2"/>
    <x v="99"/>
    <n v="42"/>
    <x v="0"/>
    <x v="2"/>
    <n v="1856"/>
    <x v="4"/>
    <x v="5"/>
    <m/>
    <x v="10"/>
    <m/>
    <x v="12"/>
    <m/>
  </r>
  <r>
    <n v="115"/>
    <n v="32"/>
    <n v="37"/>
    <s v="Sunglasses"/>
    <s v="Accessories"/>
    <n v="776"/>
    <n v="3"/>
    <x v="100"/>
    <n v="35"/>
    <x v="0"/>
    <x v="1"/>
    <n v="2328"/>
    <x v="3"/>
    <x v="5"/>
    <m/>
    <x v="10"/>
    <m/>
    <x v="12"/>
    <m/>
  </r>
  <r>
    <n v="116"/>
    <n v="161"/>
    <n v="20"/>
    <s v="Watch"/>
    <s v="Accessories"/>
    <n v="947"/>
    <n v="4"/>
    <x v="1"/>
    <n v="57"/>
    <x v="1"/>
    <x v="2"/>
    <n v="3788"/>
    <x v="2"/>
    <x v="5"/>
    <m/>
    <x v="10"/>
    <m/>
    <x v="12"/>
    <m/>
  </r>
  <r>
    <n v="117"/>
    <n v="16"/>
    <n v="49"/>
    <s v="Tablet"/>
    <s v="Accessories"/>
    <n v="319"/>
    <n v="1"/>
    <x v="87"/>
    <n v="25"/>
    <x v="0"/>
    <x v="3"/>
    <n v="319"/>
    <x v="1"/>
    <x v="5"/>
    <m/>
    <x v="10"/>
    <m/>
    <x v="12"/>
    <m/>
  </r>
  <r>
    <n v="118"/>
    <n v="38"/>
    <n v="21"/>
    <s v="Jacket"/>
    <s v="Electronics"/>
    <n v="84"/>
    <n v="3"/>
    <x v="101"/>
    <n v="56"/>
    <x v="1"/>
    <x v="0"/>
    <n v="252"/>
    <x v="2"/>
    <x v="5"/>
    <m/>
    <x v="10"/>
    <m/>
    <x v="12"/>
    <m/>
  </r>
  <r>
    <n v="119"/>
    <n v="142"/>
    <n v="10"/>
    <s v="Camera"/>
    <s v="Accessories"/>
    <n v="51"/>
    <n v="2"/>
    <x v="102"/>
    <n v="57"/>
    <x v="1"/>
    <x v="5"/>
    <n v="102"/>
    <x v="2"/>
    <x v="5"/>
    <m/>
    <x v="10"/>
    <m/>
    <x v="12"/>
    <m/>
  </r>
  <r>
    <n v="120"/>
    <n v="36"/>
    <n v="5"/>
    <s v="Camera"/>
    <s v="Clothing"/>
    <n v="416"/>
    <n v="1"/>
    <x v="103"/>
    <n v="31"/>
    <x v="0"/>
    <x v="5"/>
    <n v="416"/>
    <x v="3"/>
    <x v="5"/>
    <m/>
    <x v="10"/>
    <m/>
    <x v="12"/>
    <m/>
  </r>
  <r>
    <n v="121"/>
    <n v="151"/>
    <n v="36"/>
    <s v="Laptop"/>
    <s v="Accessories"/>
    <n v="130"/>
    <n v="1"/>
    <x v="104"/>
    <n v="49"/>
    <x v="1"/>
    <x v="5"/>
    <n v="130"/>
    <x v="4"/>
    <x v="5"/>
    <m/>
    <x v="10"/>
    <m/>
    <x v="12"/>
    <m/>
  </r>
  <r>
    <n v="122"/>
    <n v="114"/>
    <n v="6"/>
    <s v="Headphones"/>
    <s v="Electronics"/>
    <n v="155"/>
    <n v="1"/>
    <x v="105"/>
    <n v="55"/>
    <x v="0"/>
    <x v="2"/>
    <n v="155"/>
    <x v="2"/>
    <x v="5"/>
    <m/>
    <x v="10"/>
    <m/>
    <x v="12"/>
    <m/>
  </r>
  <r>
    <n v="123"/>
    <n v="66"/>
    <n v="26"/>
    <s v="Smartphone"/>
    <s v="Clothing"/>
    <n v="255"/>
    <n v="3"/>
    <x v="106"/>
    <n v="50"/>
    <x v="1"/>
    <x v="0"/>
    <n v="765"/>
    <x v="2"/>
    <x v="5"/>
    <m/>
    <x v="10"/>
    <m/>
    <x v="12"/>
    <m/>
  </r>
  <r>
    <n v="124"/>
    <n v="105"/>
    <n v="4"/>
    <s v="Smartphone"/>
    <s v="Accessories"/>
    <n v="155"/>
    <n v="2"/>
    <x v="87"/>
    <n v="40"/>
    <x v="0"/>
    <x v="1"/>
    <n v="310"/>
    <x v="4"/>
    <x v="5"/>
    <m/>
    <x v="10"/>
    <m/>
    <x v="12"/>
    <m/>
  </r>
  <r>
    <n v="125"/>
    <n v="85"/>
    <n v="39"/>
    <s v="Smartphone"/>
    <s v="Electronics"/>
    <n v="437"/>
    <n v="1"/>
    <x v="107"/>
    <n v="32"/>
    <x v="0"/>
    <x v="3"/>
    <n v="437"/>
    <x v="3"/>
    <x v="5"/>
    <m/>
    <x v="10"/>
    <m/>
    <x v="12"/>
    <m/>
  </r>
  <r>
    <n v="126"/>
    <n v="2"/>
    <n v="39"/>
    <s v="Headphones"/>
    <s v="Accessories"/>
    <n v="779"/>
    <n v="4"/>
    <x v="108"/>
    <n v="50"/>
    <x v="0"/>
    <x v="1"/>
    <n v="3116"/>
    <x v="2"/>
    <x v="5"/>
    <m/>
    <x v="10"/>
    <m/>
    <x v="12"/>
    <m/>
  </r>
  <r>
    <n v="127"/>
    <n v="193"/>
    <n v="50"/>
    <s v="Laptop"/>
    <s v="Accessories"/>
    <n v="51"/>
    <n v="1"/>
    <x v="109"/>
    <n v="42"/>
    <x v="1"/>
    <x v="2"/>
    <n v="51"/>
    <x v="4"/>
    <x v="5"/>
    <m/>
    <x v="10"/>
    <m/>
    <x v="12"/>
    <m/>
  </r>
  <r>
    <n v="128"/>
    <n v="75"/>
    <n v="35"/>
    <s v="Headphones"/>
    <s v="Accessories"/>
    <n v="779"/>
    <n v="1"/>
    <x v="92"/>
    <n v="34"/>
    <x v="1"/>
    <x v="3"/>
    <n v="779"/>
    <x v="3"/>
    <x v="5"/>
    <m/>
    <x v="10"/>
    <m/>
    <x v="12"/>
    <m/>
  </r>
  <r>
    <n v="129"/>
    <n v="67"/>
    <n v="1"/>
    <s v="Smartphone"/>
    <s v="Electronics"/>
    <n v="821"/>
    <n v="3"/>
    <x v="36"/>
    <n v="50"/>
    <x v="0"/>
    <x v="5"/>
    <n v="2463"/>
    <x v="2"/>
    <x v="5"/>
    <m/>
    <x v="10"/>
    <m/>
    <x v="12"/>
    <m/>
  </r>
  <r>
    <n v="130"/>
    <n v="180"/>
    <n v="24"/>
    <s v="Watch"/>
    <s v="Clothing"/>
    <n v="921"/>
    <n v="3"/>
    <x v="110"/>
    <n v="64"/>
    <x v="0"/>
    <x v="4"/>
    <n v="2763"/>
    <x v="0"/>
    <x v="5"/>
    <m/>
    <x v="10"/>
    <m/>
    <x v="12"/>
    <m/>
  </r>
  <r>
    <n v="131"/>
    <n v="190"/>
    <n v="36"/>
    <s v="T-shirt"/>
    <s v="Accessories"/>
    <n v="558"/>
    <n v="2"/>
    <x v="22"/>
    <n v="19"/>
    <x v="1"/>
    <x v="2"/>
    <n v="1116"/>
    <x v="5"/>
    <x v="5"/>
    <m/>
    <x v="10"/>
    <m/>
    <x v="12"/>
    <m/>
  </r>
  <r>
    <n v="132"/>
    <n v="151"/>
    <n v="6"/>
    <s v="Tablet"/>
    <s v="Accessories"/>
    <n v="751"/>
    <n v="4"/>
    <x v="111"/>
    <n v="31"/>
    <x v="1"/>
    <x v="2"/>
    <n v="3004"/>
    <x v="3"/>
    <x v="5"/>
    <m/>
    <x v="10"/>
    <m/>
    <x v="12"/>
    <m/>
  </r>
  <r>
    <n v="133"/>
    <n v="154"/>
    <n v="41"/>
    <s v="Headphones"/>
    <s v="Electronics"/>
    <n v="504"/>
    <n v="3"/>
    <x v="112"/>
    <n v="57"/>
    <x v="1"/>
    <x v="0"/>
    <n v="1512"/>
    <x v="2"/>
    <x v="5"/>
    <m/>
    <x v="10"/>
    <m/>
    <x v="12"/>
    <m/>
  </r>
  <r>
    <n v="134"/>
    <n v="196"/>
    <n v="46"/>
    <s v="Laptop"/>
    <s v="Electronics"/>
    <n v="526"/>
    <n v="1"/>
    <x v="113"/>
    <n v="57"/>
    <x v="0"/>
    <x v="1"/>
    <n v="526"/>
    <x v="2"/>
    <x v="5"/>
    <m/>
    <x v="10"/>
    <m/>
    <x v="12"/>
    <m/>
  </r>
  <r>
    <n v="135"/>
    <n v="55"/>
    <n v="44"/>
    <s v="Laptop"/>
    <s v="Accessories"/>
    <n v="779"/>
    <n v="2"/>
    <x v="47"/>
    <n v="56"/>
    <x v="1"/>
    <x v="2"/>
    <n v="1558"/>
    <x v="2"/>
    <x v="5"/>
    <m/>
    <x v="10"/>
    <m/>
    <x v="12"/>
    <m/>
  </r>
  <r>
    <n v="136"/>
    <n v="6"/>
    <n v="31"/>
    <s v="Sunglasses"/>
    <s v="Clothing"/>
    <n v="558"/>
    <n v="1"/>
    <x v="114"/>
    <n v="23"/>
    <x v="1"/>
    <x v="2"/>
    <n v="558"/>
    <x v="1"/>
    <x v="5"/>
    <m/>
    <x v="10"/>
    <m/>
    <x v="12"/>
    <m/>
  </r>
  <r>
    <n v="137"/>
    <n v="163"/>
    <n v="20"/>
    <s v="T-shirt"/>
    <s v="Electronics"/>
    <n v="611"/>
    <n v="1"/>
    <x v="115"/>
    <n v="23"/>
    <x v="0"/>
    <x v="5"/>
    <n v="611"/>
    <x v="1"/>
    <x v="5"/>
    <m/>
    <x v="10"/>
    <m/>
    <x v="12"/>
    <m/>
  </r>
  <r>
    <n v="138"/>
    <n v="150"/>
    <n v="24"/>
    <s v="Jacket"/>
    <s v="Accessories"/>
    <n v="395"/>
    <n v="3"/>
    <x v="24"/>
    <n v="20"/>
    <x v="1"/>
    <x v="5"/>
    <n v="1185"/>
    <x v="1"/>
    <x v="5"/>
    <m/>
    <x v="10"/>
    <m/>
    <x v="12"/>
    <m/>
  </r>
  <r>
    <n v="139"/>
    <n v="171"/>
    <n v="25"/>
    <s v="Camera"/>
    <s v="Clothing"/>
    <n v="141"/>
    <n v="2"/>
    <x v="18"/>
    <n v="24"/>
    <x v="1"/>
    <x v="3"/>
    <n v="282"/>
    <x v="1"/>
    <x v="5"/>
    <m/>
    <x v="10"/>
    <m/>
    <x v="12"/>
    <m/>
  </r>
  <r>
    <n v="140"/>
    <n v="143"/>
    <n v="36"/>
    <s v="Smartphone"/>
    <s v="Clothing"/>
    <n v="389"/>
    <n v="4"/>
    <x v="93"/>
    <n v="25"/>
    <x v="1"/>
    <x v="4"/>
    <n v="1556"/>
    <x v="1"/>
    <x v="5"/>
    <m/>
    <x v="10"/>
    <m/>
    <x v="12"/>
    <m/>
  </r>
  <r>
    <n v="141"/>
    <n v="86"/>
    <n v="21"/>
    <s v="Jacket"/>
    <s v="Accessories"/>
    <n v="451"/>
    <n v="4"/>
    <x v="116"/>
    <n v="59"/>
    <x v="0"/>
    <x v="0"/>
    <n v="1804"/>
    <x v="2"/>
    <x v="5"/>
    <m/>
    <x v="10"/>
    <m/>
    <x v="12"/>
    <m/>
  </r>
  <r>
    <n v="142"/>
    <n v="60"/>
    <n v="30"/>
    <s v="Sunglasses"/>
    <s v="Accessories"/>
    <n v="751"/>
    <n v="3"/>
    <x v="117"/>
    <n v="32"/>
    <x v="0"/>
    <x v="4"/>
    <n v="2253"/>
    <x v="3"/>
    <x v="5"/>
    <m/>
    <x v="10"/>
    <m/>
    <x v="12"/>
    <m/>
  </r>
  <r>
    <n v="143"/>
    <n v="101"/>
    <n v="24"/>
    <s v="Smartphone"/>
    <s v="Accessories"/>
    <n v="389"/>
    <n v="3"/>
    <x v="95"/>
    <n v="64"/>
    <x v="0"/>
    <x v="3"/>
    <n v="1167"/>
    <x v="0"/>
    <x v="5"/>
    <m/>
    <x v="10"/>
    <m/>
    <x v="12"/>
    <m/>
  </r>
  <r>
    <n v="144"/>
    <n v="12"/>
    <n v="44"/>
    <s v="T-shirt"/>
    <s v="Clothing"/>
    <n v="921"/>
    <n v="2"/>
    <x v="24"/>
    <n v="46"/>
    <x v="0"/>
    <x v="5"/>
    <n v="1842"/>
    <x v="4"/>
    <x v="5"/>
    <m/>
    <x v="10"/>
    <m/>
    <x v="12"/>
    <m/>
  </r>
  <r>
    <n v="145"/>
    <n v="49"/>
    <n v="42"/>
    <s v="Sunglasses"/>
    <s v="Clothing"/>
    <n v="526"/>
    <n v="4"/>
    <x v="118"/>
    <n v="50"/>
    <x v="0"/>
    <x v="1"/>
    <n v="2104"/>
    <x v="2"/>
    <x v="5"/>
    <m/>
    <x v="10"/>
    <m/>
    <x v="12"/>
    <m/>
  </r>
  <r>
    <n v="146"/>
    <n v="42"/>
    <n v="30"/>
    <s v="Smartphone"/>
    <s v="Clothing"/>
    <n v="51"/>
    <n v="4"/>
    <x v="35"/>
    <n v="47"/>
    <x v="0"/>
    <x v="5"/>
    <n v="204"/>
    <x v="4"/>
    <x v="5"/>
    <m/>
    <x v="10"/>
    <m/>
    <x v="12"/>
    <m/>
  </r>
  <r>
    <n v="147"/>
    <n v="166"/>
    <n v="22"/>
    <s v="T-shirt"/>
    <s v="Electronics"/>
    <n v="751"/>
    <n v="4"/>
    <x v="119"/>
    <n v="56"/>
    <x v="0"/>
    <x v="0"/>
    <n v="3004"/>
    <x v="2"/>
    <x v="5"/>
    <m/>
    <x v="10"/>
    <m/>
    <x v="12"/>
    <m/>
  </r>
  <r>
    <n v="148"/>
    <n v="82"/>
    <n v="28"/>
    <s v="Shoes"/>
    <s v="Clothing"/>
    <n v="841"/>
    <n v="1"/>
    <x v="120"/>
    <n v="44"/>
    <x v="1"/>
    <x v="5"/>
    <n v="841"/>
    <x v="4"/>
    <x v="5"/>
    <m/>
    <x v="10"/>
    <m/>
    <x v="12"/>
    <m/>
  </r>
  <r>
    <n v="149"/>
    <n v="173"/>
    <n v="7"/>
    <s v="Jacket"/>
    <s v="Electronics"/>
    <n v="752"/>
    <n v="4"/>
    <x v="121"/>
    <n v="53"/>
    <x v="1"/>
    <x v="0"/>
    <n v="3008"/>
    <x v="2"/>
    <x v="5"/>
    <m/>
    <x v="10"/>
    <m/>
    <x v="12"/>
    <m/>
  </r>
  <r>
    <n v="150"/>
    <n v="35"/>
    <n v="35"/>
    <s v="Jacket"/>
    <s v="Electronics"/>
    <n v="841"/>
    <n v="1"/>
    <x v="122"/>
    <n v="46"/>
    <x v="0"/>
    <x v="0"/>
    <n v="841"/>
    <x v="4"/>
    <x v="5"/>
    <m/>
    <x v="10"/>
    <m/>
    <x v="12"/>
    <m/>
  </r>
  <r>
    <n v="151"/>
    <n v="158"/>
    <n v="28"/>
    <s v="Camera"/>
    <s v="Accessories"/>
    <n v="992"/>
    <n v="2"/>
    <x v="47"/>
    <n v="55"/>
    <x v="1"/>
    <x v="0"/>
    <n v="1984"/>
    <x v="2"/>
    <x v="5"/>
    <m/>
    <x v="10"/>
    <m/>
    <x v="12"/>
    <m/>
  </r>
  <r>
    <n v="152"/>
    <n v="158"/>
    <n v="14"/>
    <s v="T-shirt"/>
    <s v="Accessories"/>
    <n v="416"/>
    <n v="1"/>
    <x v="5"/>
    <n v="50"/>
    <x v="1"/>
    <x v="3"/>
    <n v="416"/>
    <x v="2"/>
    <x v="5"/>
    <m/>
    <x v="10"/>
    <m/>
    <x v="12"/>
    <m/>
  </r>
  <r>
    <n v="153"/>
    <n v="134"/>
    <n v="10"/>
    <s v="Headphones"/>
    <s v="Accessories"/>
    <n v="614"/>
    <n v="2"/>
    <x v="123"/>
    <n v="54"/>
    <x v="0"/>
    <x v="0"/>
    <n v="1228"/>
    <x v="2"/>
    <x v="5"/>
    <m/>
    <x v="10"/>
    <m/>
    <x v="12"/>
    <m/>
  </r>
  <r>
    <n v="154"/>
    <n v="67"/>
    <n v="16"/>
    <s v="Shoes"/>
    <s v="Accessories"/>
    <n v="558"/>
    <n v="4"/>
    <x v="59"/>
    <n v="44"/>
    <x v="1"/>
    <x v="0"/>
    <n v="2232"/>
    <x v="4"/>
    <x v="5"/>
    <m/>
    <x v="10"/>
    <m/>
    <x v="12"/>
    <m/>
  </r>
  <r>
    <n v="155"/>
    <n v="80"/>
    <n v="16"/>
    <s v="Watch"/>
    <s v="Electronics"/>
    <n v="912"/>
    <n v="4"/>
    <x v="76"/>
    <n v="50"/>
    <x v="1"/>
    <x v="1"/>
    <n v="3648"/>
    <x v="2"/>
    <x v="5"/>
    <m/>
    <x v="10"/>
    <m/>
    <x v="12"/>
    <m/>
  </r>
  <r>
    <n v="156"/>
    <n v="7"/>
    <n v="31"/>
    <s v="Smartphone"/>
    <s v="Accessories"/>
    <n v="871"/>
    <n v="2"/>
    <x v="124"/>
    <n v="21"/>
    <x v="1"/>
    <x v="4"/>
    <n v="1742"/>
    <x v="1"/>
    <x v="5"/>
    <m/>
    <x v="10"/>
    <m/>
    <x v="12"/>
    <m/>
  </r>
  <r>
    <n v="157"/>
    <n v="180"/>
    <n v="42"/>
    <s v="Shoes"/>
    <s v="Clothing"/>
    <n v="865"/>
    <n v="3"/>
    <x v="125"/>
    <n v="39"/>
    <x v="1"/>
    <x v="2"/>
    <n v="2595"/>
    <x v="3"/>
    <x v="5"/>
    <m/>
    <x v="10"/>
    <m/>
    <x v="12"/>
    <m/>
  </r>
  <r>
    <n v="158"/>
    <n v="14"/>
    <n v="25"/>
    <s v="T-shirt"/>
    <s v="Clothing"/>
    <n v="981"/>
    <n v="2"/>
    <x v="126"/>
    <n v="19"/>
    <x v="1"/>
    <x v="4"/>
    <n v="1962"/>
    <x v="5"/>
    <x v="5"/>
    <m/>
    <x v="10"/>
    <m/>
    <x v="12"/>
    <m/>
  </r>
  <r>
    <n v="159"/>
    <n v="73"/>
    <n v="13"/>
    <s v="Tablet"/>
    <s v="Accessories"/>
    <n v="395"/>
    <n v="3"/>
    <x v="127"/>
    <n v="27"/>
    <x v="0"/>
    <x v="0"/>
    <n v="1185"/>
    <x v="1"/>
    <x v="5"/>
    <m/>
    <x v="10"/>
    <m/>
    <x v="12"/>
    <m/>
  </r>
  <r>
    <n v="160"/>
    <n v="143"/>
    <n v="6"/>
    <s v="Smartphone"/>
    <s v="Electronics"/>
    <n v="821"/>
    <n v="1"/>
    <x v="7"/>
    <n v="22"/>
    <x v="0"/>
    <x v="1"/>
    <n v="821"/>
    <x v="1"/>
    <x v="5"/>
    <m/>
    <x v="10"/>
    <m/>
    <x v="12"/>
    <m/>
  </r>
  <r>
    <n v="161"/>
    <n v="149"/>
    <n v="44"/>
    <s v="Laptop"/>
    <s v="Clothing"/>
    <n v="558"/>
    <n v="1"/>
    <x v="22"/>
    <n v="27"/>
    <x v="0"/>
    <x v="5"/>
    <n v="558"/>
    <x v="1"/>
    <x v="5"/>
    <m/>
    <x v="10"/>
    <m/>
    <x v="12"/>
    <m/>
  </r>
  <r>
    <n v="162"/>
    <n v="163"/>
    <n v="9"/>
    <s v="Jacket"/>
    <s v="Clothing"/>
    <n v="511"/>
    <n v="1"/>
    <x v="128"/>
    <n v="50"/>
    <x v="1"/>
    <x v="1"/>
    <n v="511"/>
    <x v="2"/>
    <x v="5"/>
    <m/>
    <x v="10"/>
    <m/>
    <x v="12"/>
    <m/>
  </r>
  <r>
    <n v="163"/>
    <n v="66"/>
    <n v="45"/>
    <s v="T-shirt"/>
    <s v="Electronics"/>
    <n v="615"/>
    <n v="4"/>
    <x v="129"/>
    <n v="55"/>
    <x v="0"/>
    <x v="0"/>
    <n v="2460"/>
    <x v="2"/>
    <x v="5"/>
    <m/>
    <x v="10"/>
    <m/>
    <x v="12"/>
    <m/>
  </r>
  <r>
    <n v="164"/>
    <n v="91"/>
    <n v="36"/>
    <s v="Laptop"/>
    <s v="Electronics"/>
    <n v="526"/>
    <n v="1"/>
    <x v="73"/>
    <n v="30"/>
    <x v="1"/>
    <x v="1"/>
    <n v="526"/>
    <x v="3"/>
    <x v="5"/>
    <m/>
    <x v="10"/>
    <m/>
    <x v="12"/>
    <m/>
  </r>
  <r>
    <n v="165"/>
    <n v="130"/>
    <n v="43"/>
    <s v="Camera"/>
    <s v="Accessories"/>
    <n v="774"/>
    <n v="3"/>
    <x v="130"/>
    <n v="48"/>
    <x v="1"/>
    <x v="1"/>
    <n v="2322"/>
    <x v="4"/>
    <x v="5"/>
    <m/>
    <x v="10"/>
    <m/>
    <x v="12"/>
    <m/>
  </r>
  <r>
    <n v="166"/>
    <n v="163"/>
    <n v="20"/>
    <s v="Sunglasses"/>
    <s v="Electronics"/>
    <n v="776"/>
    <n v="1"/>
    <x v="131"/>
    <n v="64"/>
    <x v="1"/>
    <x v="0"/>
    <n v="776"/>
    <x v="0"/>
    <x v="5"/>
    <m/>
    <x v="10"/>
    <m/>
    <x v="12"/>
    <m/>
  </r>
  <r>
    <n v="167"/>
    <n v="20"/>
    <n v="18"/>
    <s v="Watch"/>
    <s v="Accessories"/>
    <n v="752"/>
    <n v="2"/>
    <x v="132"/>
    <n v="53"/>
    <x v="1"/>
    <x v="3"/>
    <n v="1504"/>
    <x v="2"/>
    <x v="5"/>
    <m/>
    <x v="10"/>
    <m/>
    <x v="12"/>
    <m/>
  </r>
  <r>
    <n v="168"/>
    <n v="10"/>
    <n v="43"/>
    <s v="Watch"/>
    <s v="Accessories"/>
    <n v="779"/>
    <n v="2"/>
    <x v="133"/>
    <n v="62"/>
    <x v="0"/>
    <x v="1"/>
    <n v="1558"/>
    <x v="0"/>
    <x v="5"/>
    <m/>
    <x v="10"/>
    <m/>
    <x v="12"/>
    <m/>
  </r>
  <r>
    <n v="169"/>
    <n v="25"/>
    <n v="21"/>
    <s v="Laptop"/>
    <s v="Electronics"/>
    <n v="928"/>
    <n v="4"/>
    <x v="66"/>
    <n v="41"/>
    <x v="0"/>
    <x v="2"/>
    <n v="3712"/>
    <x v="4"/>
    <x v="5"/>
    <m/>
    <x v="10"/>
    <m/>
    <x v="12"/>
    <m/>
  </r>
  <r>
    <n v="170"/>
    <n v="194"/>
    <n v="4"/>
    <s v="Jacket"/>
    <s v="Accessories"/>
    <n v="511"/>
    <n v="2"/>
    <x v="134"/>
    <n v="32"/>
    <x v="1"/>
    <x v="2"/>
    <n v="1022"/>
    <x v="3"/>
    <x v="5"/>
    <m/>
    <x v="10"/>
    <m/>
    <x v="12"/>
    <m/>
  </r>
  <r>
    <n v="171"/>
    <n v="25"/>
    <n v="50"/>
    <s v="Camera"/>
    <s v="Clothing"/>
    <n v="51"/>
    <n v="3"/>
    <x v="135"/>
    <n v="46"/>
    <x v="0"/>
    <x v="1"/>
    <n v="153"/>
    <x v="4"/>
    <x v="5"/>
    <m/>
    <x v="10"/>
    <m/>
    <x v="12"/>
    <m/>
  </r>
  <r>
    <n v="172"/>
    <n v="54"/>
    <n v="33"/>
    <s v="Tablet"/>
    <s v="Clothing"/>
    <n v="752"/>
    <n v="1"/>
    <x v="5"/>
    <n v="25"/>
    <x v="1"/>
    <x v="3"/>
    <n v="752"/>
    <x v="1"/>
    <x v="5"/>
    <m/>
    <x v="10"/>
    <m/>
    <x v="12"/>
    <m/>
  </r>
  <r>
    <n v="173"/>
    <n v="33"/>
    <n v="27"/>
    <s v="Jacket"/>
    <s v="Accessories"/>
    <n v="751"/>
    <n v="4"/>
    <x v="136"/>
    <n v="22"/>
    <x v="0"/>
    <x v="5"/>
    <n v="3004"/>
    <x v="1"/>
    <x v="5"/>
    <m/>
    <x v="10"/>
    <m/>
    <x v="12"/>
    <m/>
  </r>
  <r>
    <n v="174"/>
    <n v="164"/>
    <n v="7"/>
    <s v="Shoes"/>
    <s v="Clothing"/>
    <n v="51"/>
    <n v="1"/>
    <x v="137"/>
    <n v="46"/>
    <x v="0"/>
    <x v="0"/>
    <n v="51"/>
    <x v="4"/>
    <x v="5"/>
    <m/>
    <x v="10"/>
    <m/>
    <x v="12"/>
    <m/>
  </r>
  <r>
    <n v="175"/>
    <n v="95"/>
    <n v="6"/>
    <s v="Watch"/>
    <s v="Accessories"/>
    <n v="769"/>
    <n v="1"/>
    <x v="138"/>
    <n v="64"/>
    <x v="1"/>
    <x v="2"/>
    <n v="769"/>
    <x v="0"/>
    <x v="5"/>
    <m/>
    <x v="10"/>
    <m/>
    <x v="12"/>
    <m/>
  </r>
  <r>
    <n v="176"/>
    <n v="14"/>
    <n v="15"/>
    <s v="Shoes"/>
    <s v="Accessories"/>
    <n v="437"/>
    <n v="3"/>
    <x v="139"/>
    <n v="21"/>
    <x v="0"/>
    <x v="5"/>
    <n v="1311"/>
    <x v="1"/>
    <x v="5"/>
    <m/>
    <x v="10"/>
    <m/>
    <x v="12"/>
    <m/>
  </r>
  <r>
    <n v="177"/>
    <n v="65"/>
    <n v="18"/>
    <s v="Smartphone"/>
    <s v="Electronics"/>
    <n v="51"/>
    <n v="2"/>
    <x v="115"/>
    <n v="29"/>
    <x v="1"/>
    <x v="1"/>
    <n v="102"/>
    <x v="1"/>
    <x v="5"/>
    <m/>
    <x v="10"/>
    <m/>
    <x v="12"/>
    <m/>
  </r>
  <r>
    <n v="178"/>
    <n v="110"/>
    <n v="32"/>
    <s v="Headphones"/>
    <s v="Electronics"/>
    <n v="865"/>
    <n v="2"/>
    <x v="140"/>
    <n v="62"/>
    <x v="0"/>
    <x v="5"/>
    <n v="1730"/>
    <x v="0"/>
    <x v="5"/>
    <m/>
    <x v="10"/>
    <m/>
    <x v="12"/>
    <m/>
  </r>
  <r>
    <n v="179"/>
    <n v="80"/>
    <n v="11"/>
    <s v="T-shirt"/>
    <s v="Clothing"/>
    <n v="928"/>
    <n v="1"/>
    <x v="141"/>
    <n v="19"/>
    <x v="1"/>
    <x v="4"/>
    <n v="928"/>
    <x v="5"/>
    <x v="5"/>
    <m/>
    <x v="10"/>
    <m/>
    <x v="12"/>
    <m/>
  </r>
  <r>
    <n v="180"/>
    <n v="54"/>
    <n v="20"/>
    <s v="Camera"/>
    <s v="Electronics"/>
    <n v="395"/>
    <n v="4"/>
    <x v="142"/>
    <n v="44"/>
    <x v="1"/>
    <x v="2"/>
    <n v="1580"/>
    <x v="4"/>
    <x v="5"/>
    <m/>
    <x v="10"/>
    <m/>
    <x v="12"/>
    <m/>
  </r>
  <r>
    <n v="181"/>
    <n v="125"/>
    <n v="24"/>
    <s v="Jacket"/>
    <s v="Electronics"/>
    <n v="605"/>
    <n v="2"/>
    <x v="107"/>
    <n v="48"/>
    <x v="0"/>
    <x v="1"/>
    <n v="1210"/>
    <x v="4"/>
    <x v="5"/>
    <m/>
    <x v="10"/>
    <m/>
    <x v="12"/>
    <m/>
  </r>
  <r>
    <n v="182"/>
    <n v="180"/>
    <n v="15"/>
    <s v="Watch"/>
    <s v="Accessories"/>
    <n v="912"/>
    <n v="4"/>
    <x v="143"/>
    <n v="53"/>
    <x v="0"/>
    <x v="0"/>
    <n v="3648"/>
    <x v="2"/>
    <x v="5"/>
    <m/>
    <x v="10"/>
    <m/>
    <x v="12"/>
    <m/>
  </r>
  <r>
    <n v="183"/>
    <n v="131"/>
    <n v="48"/>
    <s v="Shoes"/>
    <s v="Accessories"/>
    <n v="615"/>
    <n v="2"/>
    <x v="144"/>
    <n v="53"/>
    <x v="1"/>
    <x v="3"/>
    <n v="1230"/>
    <x v="2"/>
    <x v="5"/>
    <m/>
    <x v="10"/>
    <m/>
    <x v="12"/>
    <m/>
  </r>
  <r>
    <n v="184"/>
    <n v="169"/>
    <n v="7"/>
    <s v="Sunglasses"/>
    <s v="Electronics"/>
    <n v="614"/>
    <n v="4"/>
    <x v="87"/>
    <n v="43"/>
    <x v="0"/>
    <x v="1"/>
    <n v="2456"/>
    <x v="4"/>
    <x v="5"/>
    <m/>
    <x v="10"/>
    <m/>
    <x v="12"/>
    <m/>
  </r>
  <r>
    <n v="185"/>
    <n v="134"/>
    <n v="21"/>
    <s v="Smartphone"/>
    <s v="Electronics"/>
    <n v="141"/>
    <n v="3"/>
    <x v="145"/>
    <n v="60"/>
    <x v="0"/>
    <x v="0"/>
    <n v="423"/>
    <x v="0"/>
    <x v="5"/>
    <m/>
    <x v="10"/>
    <m/>
    <x v="12"/>
    <m/>
  </r>
  <r>
    <n v="186"/>
    <n v="25"/>
    <n v="42"/>
    <s v="T-shirt"/>
    <s v="Accessories"/>
    <n v="130"/>
    <n v="4"/>
    <x v="146"/>
    <n v="44"/>
    <x v="1"/>
    <x v="3"/>
    <n v="520"/>
    <x v="4"/>
    <x v="5"/>
    <m/>
    <x v="10"/>
    <m/>
    <x v="12"/>
    <m/>
  </r>
  <r>
    <n v="187"/>
    <n v="141"/>
    <n v="26"/>
    <s v="T-shirt"/>
    <s v="Electronics"/>
    <n v="752"/>
    <n v="3"/>
    <x v="147"/>
    <n v="22"/>
    <x v="1"/>
    <x v="3"/>
    <n v="2256"/>
    <x v="1"/>
    <x v="5"/>
    <m/>
    <x v="10"/>
    <m/>
    <x v="12"/>
    <m/>
  </r>
  <r>
    <n v="188"/>
    <n v="117"/>
    <n v="44"/>
    <s v="Jacket"/>
    <s v="Clothing"/>
    <n v="558"/>
    <n v="3"/>
    <x v="148"/>
    <n v="37"/>
    <x v="0"/>
    <x v="1"/>
    <n v="1674"/>
    <x v="3"/>
    <x v="5"/>
    <m/>
    <x v="10"/>
    <m/>
    <x v="12"/>
    <m/>
  </r>
  <r>
    <n v="189"/>
    <n v="136"/>
    <n v="14"/>
    <s v="Camera"/>
    <s v="Accessories"/>
    <n v="477"/>
    <n v="4"/>
    <x v="149"/>
    <n v="28"/>
    <x v="1"/>
    <x v="5"/>
    <n v="1908"/>
    <x v="1"/>
    <x v="5"/>
    <m/>
    <x v="10"/>
    <m/>
    <x v="12"/>
    <m/>
  </r>
  <r>
    <n v="190"/>
    <n v="149"/>
    <n v="37"/>
    <s v="Tablet"/>
    <s v="Electronics"/>
    <n v="319"/>
    <n v="3"/>
    <x v="150"/>
    <n v="27"/>
    <x v="1"/>
    <x v="5"/>
    <n v="957"/>
    <x v="1"/>
    <x v="5"/>
    <m/>
    <x v="10"/>
    <m/>
    <x v="12"/>
    <m/>
  </r>
  <r>
    <n v="191"/>
    <n v="196"/>
    <n v="21"/>
    <s v="Sunglasses"/>
    <s v="Clothing"/>
    <n v="251"/>
    <n v="1"/>
    <x v="151"/>
    <n v="57"/>
    <x v="1"/>
    <x v="3"/>
    <n v="251"/>
    <x v="2"/>
    <x v="5"/>
    <m/>
    <x v="10"/>
    <m/>
    <x v="12"/>
    <m/>
  </r>
  <r>
    <n v="192"/>
    <n v="25"/>
    <n v="18"/>
    <s v="Jacket"/>
    <s v="Accessories"/>
    <n v="102"/>
    <n v="3"/>
    <x v="152"/>
    <n v="55"/>
    <x v="0"/>
    <x v="5"/>
    <n v="306"/>
    <x v="2"/>
    <x v="5"/>
    <m/>
    <x v="10"/>
    <m/>
    <x v="12"/>
    <m/>
  </r>
  <r>
    <n v="193"/>
    <n v="79"/>
    <n v="5"/>
    <s v="Shoes"/>
    <s v="Accessories"/>
    <n v="141"/>
    <n v="2"/>
    <x v="153"/>
    <n v="23"/>
    <x v="0"/>
    <x v="4"/>
    <n v="282"/>
    <x v="1"/>
    <x v="5"/>
    <m/>
    <x v="10"/>
    <m/>
    <x v="12"/>
    <m/>
  </r>
  <r>
    <n v="194"/>
    <n v="68"/>
    <n v="3"/>
    <s v="Headphones"/>
    <s v="Clothing"/>
    <n v="751"/>
    <n v="4"/>
    <x v="154"/>
    <n v="25"/>
    <x v="1"/>
    <x v="3"/>
    <n v="3004"/>
    <x v="1"/>
    <x v="5"/>
    <m/>
    <x v="10"/>
    <m/>
    <x v="12"/>
    <m/>
  </r>
  <r>
    <n v="195"/>
    <n v="173"/>
    <n v="23"/>
    <s v="Laptop"/>
    <s v="Clothing"/>
    <n v="320"/>
    <n v="1"/>
    <x v="155"/>
    <n v="40"/>
    <x v="0"/>
    <x v="3"/>
    <n v="320"/>
    <x v="4"/>
    <x v="5"/>
    <m/>
    <x v="10"/>
    <m/>
    <x v="12"/>
    <m/>
  </r>
  <r>
    <n v="196"/>
    <n v="188"/>
    <n v="26"/>
    <s v="Tablet"/>
    <s v="Accessories"/>
    <n v="395"/>
    <n v="4"/>
    <x v="156"/>
    <n v="64"/>
    <x v="1"/>
    <x v="0"/>
    <n v="1580"/>
    <x v="0"/>
    <x v="5"/>
    <m/>
    <x v="10"/>
    <m/>
    <x v="12"/>
    <m/>
  </r>
  <r>
    <n v="197"/>
    <n v="12"/>
    <n v="37"/>
    <s v="Camera"/>
    <s v="Accessories"/>
    <n v="779"/>
    <n v="2"/>
    <x v="109"/>
    <n v="43"/>
    <x v="0"/>
    <x v="5"/>
    <n v="1558"/>
    <x v="4"/>
    <x v="5"/>
    <m/>
    <x v="10"/>
    <m/>
    <x v="12"/>
    <m/>
  </r>
  <r>
    <n v="198"/>
    <n v="32"/>
    <n v="24"/>
    <s v="Smartphone"/>
    <s v="Accessories"/>
    <n v="947"/>
    <n v="2"/>
    <x v="35"/>
    <n v="63"/>
    <x v="1"/>
    <x v="3"/>
    <n v="1894"/>
    <x v="0"/>
    <x v="5"/>
    <m/>
    <x v="10"/>
    <m/>
    <x v="12"/>
    <m/>
  </r>
  <r>
    <n v="199"/>
    <n v="128"/>
    <n v="49"/>
    <s v="Tablet"/>
    <s v="Accessories"/>
    <n v="826"/>
    <n v="2"/>
    <x v="10"/>
    <n v="60"/>
    <x v="1"/>
    <x v="4"/>
    <n v="1652"/>
    <x v="0"/>
    <x v="5"/>
    <m/>
    <x v="10"/>
    <m/>
    <x v="12"/>
    <m/>
  </r>
  <r>
    <n v="200"/>
    <n v="96"/>
    <n v="19"/>
    <s v="Watch"/>
    <s v="Clothing"/>
    <n v="437"/>
    <n v="3"/>
    <x v="157"/>
    <n v="29"/>
    <x v="0"/>
    <x v="0"/>
    <n v="1311"/>
    <x v="1"/>
    <x v="5"/>
    <m/>
    <x v="10"/>
    <m/>
    <x v="12"/>
    <m/>
  </r>
  <r>
    <n v="201"/>
    <n v="92"/>
    <n v="25"/>
    <s v="Camera"/>
    <s v="Clothing"/>
    <n v="526"/>
    <n v="3"/>
    <x v="133"/>
    <n v="43"/>
    <x v="1"/>
    <x v="1"/>
    <n v="1578"/>
    <x v="4"/>
    <x v="5"/>
    <m/>
    <x v="10"/>
    <m/>
    <x v="12"/>
    <m/>
  </r>
  <r>
    <n v="202"/>
    <n v="141"/>
    <n v="21"/>
    <s v="Headphones"/>
    <s v="Accessories"/>
    <n v="871"/>
    <n v="4"/>
    <x v="74"/>
    <n v="30"/>
    <x v="0"/>
    <x v="3"/>
    <n v="3484"/>
    <x v="3"/>
    <x v="5"/>
    <m/>
    <x v="10"/>
    <m/>
    <x v="12"/>
    <m/>
  </r>
  <r>
    <n v="203"/>
    <n v="31"/>
    <n v="12"/>
    <s v="Watch"/>
    <s v="Clothing"/>
    <n v="558"/>
    <n v="4"/>
    <x v="28"/>
    <n v="57"/>
    <x v="0"/>
    <x v="4"/>
    <n v="2232"/>
    <x v="2"/>
    <x v="5"/>
    <m/>
    <x v="10"/>
    <m/>
    <x v="12"/>
    <m/>
  </r>
  <r>
    <n v="204"/>
    <n v="78"/>
    <n v="41"/>
    <s v="Tablet"/>
    <s v="Clothing"/>
    <n v="130"/>
    <n v="1"/>
    <x v="10"/>
    <n v="35"/>
    <x v="1"/>
    <x v="2"/>
    <n v="130"/>
    <x v="3"/>
    <x v="5"/>
    <m/>
    <x v="10"/>
    <m/>
    <x v="12"/>
    <m/>
  </r>
  <r>
    <n v="205"/>
    <n v="20"/>
    <n v="33"/>
    <s v="Laptop"/>
    <s v="Clothing"/>
    <n v="615"/>
    <n v="1"/>
    <x v="4"/>
    <n v="42"/>
    <x v="1"/>
    <x v="4"/>
    <n v="615"/>
    <x v="4"/>
    <x v="5"/>
    <m/>
    <x v="10"/>
    <m/>
    <x v="12"/>
    <m/>
  </r>
  <r>
    <n v="206"/>
    <n v="146"/>
    <n v="50"/>
    <s v="Laptop"/>
    <s v="Electronics"/>
    <n v="102"/>
    <n v="4"/>
    <x v="158"/>
    <n v="50"/>
    <x v="0"/>
    <x v="4"/>
    <n v="408"/>
    <x v="2"/>
    <x v="5"/>
    <m/>
    <x v="10"/>
    <m/>
    <x v="12"/>
    <m/>
  </r>
  <r>
    <n v="207"/>
    <n v="60"/>
    <n v="4"/>
    <s v="Headphones"/>
    <s v="Accessories"/>
    <n v="439"/>
    <n v="3"/>
    <x v="159"/>
    <n v="64"/>
    <x v="1"/>
    <x v="0"/>
    <n v="1317"/>
    <x v="0"/>
    <x v="5"/>
    <m/>
    <x v="10"/>
    <m/>
    <x v="12"/>
    <m/>
  </r>
  <r>
    <n v="208"/>
    <n v="191"/>
    <n v="42"/>
    <s v="T-shirt"/>
    <s v="Clothing"/>
    <n v="615"/>
    <n v="2"/>
    <x v="102"/>
    <n v="57"/>
    <x v="1"/>
    <x v="1"/>
    <n v="1230"/>
    <x v="2"/>
    <x v="5"/>
    <m/>
    <x v="10"/>
    <m/>
    <x v="12"/>
    <m/>
  </r>
  <r>
    <n v="209"/>
    <n v="134"/>
    <n v="7"/>
    <s v="Sunglasses"/>
    <s v="Electronics"/>
    <n v="320"/>
    <n v="4"/>
    <x v="6"/>
    <n v="60"/>
    <x v="1"/>
    <x v="2"/>
    <n v="1280"/>
    <x v="0"/>
    <x v="5"/>
    <m/>
    <x v="10"/>
    <m/>
    <x v="12"/>
    <m/>
  </r>
  <r>
    <n v="210"/>
    <n v="160"/>
    <n v="22"/>
    <s v="Smartphone"/>
    <s v="Clothing"/>
    <n v="912"/>
    <n v="1"/>
    <x v="160"/>
    <n v="29"/>
    <x v="1"/>
    <x v="5"/>
    <n v="912"/>
    <x v="1"/>
    <x v="5"/>
    <m/>
    <x v="10"/>
    <m/>
    <x v="12"/>
    <m/>
  </r>
  <r>
    <n v="211"/>
    <n v="93"/>
    <n v="33"/>
    <s v="T-shirt"/>
    <s v="Clothing"/>
    <n v="605"/>
    <n v="3"/>
    <x v="96"/>
    <n v="61"/>
    <x v="1"/>
    <x v="5"/>
    <n v="1815"/>
    <x v="0"/>
    <x v="5"/>
    <m/>
    <x v="10"/>
    <m/>
    <x v="12"/>
    <m/>
  </r>
  <r>
    <n v="212"/>
    <n v="43"/>
    <n v="17"/>
    <s v="Laptop"/>
    <s v="Electronics"/>
    <n v="871"/>
    <n v="4"/>
    <x v="161"/>
    <n v="53"/>
    <x v="0"/>
    <x v="4"/>
    <n v="3484"/>
    <x v="2"/>
    <x v="5"/>
    <m/>
    <x v="10"/>
    <m/>
    <x v="12"/>
    <m/>
  </r>
  <r>
    <n v="213"/>
    <n v="130"/>
    <n v="24"/>
    <s v="Laptop"/>
    <s v="Clothing"/>
    <n v="798"/>
    <n v="4"/>
    <x v="162"/>
    <n v="21"/>
    <x v="0"/>
    <x v="0"/>
    <n v="3192"/>
    <x v="1"/>
    <x v="5"/>
    <m/>
    <x v="10"/>
    <m/>
    <x v="12"/>
    <m/>
  </r>
  <r>
    <n v="214"/>
    <n v="60"/>
    <n v="34"/>
    <s v="Shoes"/>
    <s v="Electronics"/>
    <n v="451"/>
    <n v="3"/>
    <x v="163"/>
    <n v="22"/>
    <x v="1"/>
    <x v="0"/>
    <n v="1353"/>
    <x v="1"/>
    <x v="5"/>
    <m/>
    <x v="10"/>
    <m/>
    <x v="12"/>
    <m/>
  </r>
  <r>
    <n v="215"/>
    <n v="151"/>
    <n v="28"/>
    <s v="Watch"/>
    <s v="Accessories"/>
    <n v="826"/>
    <n v="4"/>
    <x v="164"/>
    <n v="54"/>
    <x v="1"/>
    <x v="5"/>
    <n v="3304"/>
    <x v="2"/>
    <x v="5"/>
    <m/>
    <x v="10"/>
    <m/>
    <x v="12"/>
    <m/>
  </r>
  <r>
    <n v="216"/>
    <n v="31"/>
    <n v="43"/>
    <s v="Tablet"/>
    <s v="Clothing"/>
    <n v="841"/>
    <n v="3"/>
    <x v="4"/>
    <n v="25"/>
    <x v="1"/>
    <x v="2"/>
    <n v="2523"/>
    <x v="1"/>
    <x v="5"/>
    <m/>
    <x v="10"/>
    <m/>
    <x v="12"/>
    <m/>
  </r>
  <r>
    <n v="217"/>
    <n v="5"/>
    <n v="41"/>
    <s v="Smartphone"/>
    <s v="Clothing"/>
    <n v="798"/>
    <n v="2"/>
    <x v="69"/>
    <n v="59"/>
    <x v="0"/>
    <x v="1"/>
    <n v="1596"/>
    <x v="2"/>
    <x v="5"/>
    <m/>
    <x v="10"/>
    <m/>
    <x v="12"/>
    <m/>
  </r>
  <r>
    <n v="218"/>
    <n v="162"/>
    <n v="39"/>
    <s v="Headphones"/>
    <s v="Accessories"/>
    <n v="947"/>
    <n v="3"/>
    <x v="157"/>
    <n v="45"/>
    <x v="1"/>
    <x v="2"/>
    <n v="2841"/>
    <x v="4"/>
    <x v="5"/>
    <m/>
    <x v="10"/>
    <m/>
    <x v="12"/>
    <m/>
  </r>
  <r>
    <n v="219"/>
    <n v="10"/>
    <n v="22"/>
    <s v="Tablet"/>
    <s v="Electronics"/>
    <n v="416"/>
    <n v="3"/>
    <x v="55"/>
    <n v="48"/>
    <x v="0"/>
    <x v="3"/>
    <n v="1248"/>
    <x v="4"/>
    <x v="5"/>
    <m/>
    <x v="10"/>
    <m/>
    <x v="12"/>
    <m/>
  </r>
  <r>
    <n v="220"/>
    <n v="89"/>
    <n v="49"/>
    <s v="Shoes"/>
    <s v="Clothing"/>
    <n v="841"/>
    <n v="3"/>
    <x v="157"/>
    <n v="26"/>
    <x v="0"/>
    <x v="3"/>
    <n v="2523"/>
    <x v="1"/>
    <x v="5"/>
    <m/>
    <x v="10"/>
    <m/>
    <x v="12"/>
    <m/>
  </r>
  <r>
    <n v="221"/>
    <n v="130"/>
    <n v="17"/>
    <s v="Laptop"/>
    <s v="Clothing"/>
    <n v="477"/>
    <n v="4"/>
    <x v="159"/>
    <n v="46"/>
    <x v="0"/>
    <x v="1"/>
    <n v="1908"/>
    <x v="4"/>
    <x v="5"/>
    <m/>
    <x v="10"/>
    <m/>
    <x v="12"/>
    <m/>
  </r>
  <r>
    <n v="222"/>
    <n v="126"/>
    <n v="34"/>
    <s v="Headphones"/>
    <s v="Accessories"/>
    <n v="320"/>
    <n v="4"/>
    <x v="165"/>
    <n v="31"/>
    <x v="1"/>
    <x v="5"/>
    <n v="1280"/>
    <x v="3"/>
    <x v="5"/>
    <m/>
    <x v="10"/>
    <m/>
    <x v="12"/>
    <m/>
  </r>
  <r>
    <n v="223"/>
    <n v="11"/>
    <n v="6"/>
    <s v="Laptop"/>
    <s v="Electronics"/>
    <n v="437"/>
    <n v="3"/>
    <x v="166"/>
    <n v="57"/>
    <x v="0"/>
    <x v="1"/>
    <n v="1311"/>
    <x v="2"/>
    <x v="5"/>
    <m/>
    <x v="10"/>
    <m/>
    <x v="12"/>
    <m/>
  </r>
  <r>
    <n v="224"/>
    <n v="178"/>
    <n v="46"/>
    <s v="Smartphone"/>
    <s v="Accessories"/>
    <n v="826"/>
    <n v="4"/>
    <x v="167"/>
    <n v="58"/>
    <x v="1"/>
    <x v="0"/>
    <n v="3304"/>
    <x v="2"/>
    <x v="5"/>
    <m/>
    <x v="10"/>
    <m/>
    <x v="12"/>
    <m/>
  </r>
  <r>
    <n v="225"/>
    <n v="159"/>
    <n v="6"/>
    <s v="Watch"/>
    <s v="Electronics"/>
    <n v="558"/>
    <n v="1"/>
    <x v="168"/>
    <n v="39"/>
    <x v="0"/>
    <x v="3"/>
    <n v="558"/>
    <x v="3"/>
    <x v="5"/>
    <m/>
    <x v="10"/>
    <m/>
    <x v="12"/>
    <m/>
  </r>
  <r>
    <n v="226"/>
    <n v="56"/>
    <n v="34"/>
    <s v="Tablet"/>
    <s v="Electronics"/>
    <n v="320"/>
    <n v="1"/>
    <x v="169"/>
    <n v="28"/>
    <x v="1"/>
    <x v="4"/>
    <n v="320"/>
    <x v="1"/>
    <x v="5"/>
    <m/>
    <x v="10"/>
    <m/>
    <x v="12"/>
    <m/>
  </r>
  <r>
    <n v="227"/>
    <n v="83"/>
    <n v="1"/>
    <s v="Tablet"/>
    <s v="Accessories"/>
    <n v="477"/>
    <n v="4"/>
    <x v="149"/>
    <n v="40"/>
    <x v="0"/>
    <x v="4"/>
    <n v="1908"/>
    <x v="4"/>
    <x v="5"/>
    <m/>
    <x v="10"/>
    <m/>
    <x v="12"/>
    <m/>
  </r>
  <r>
    <n v="228"/>
    <n v="137"/>
    <n v="10"/>
    <s v="T-shirt"/>
    <s v="Electronics"/>
    <n v="798"/>
    <n v="4"/>
    <x v="170"/>
    <n v="18"/>
    <x v="1"/>
    <x v="5"/>
    <n v="3192"/>
    <x v="5"/>
    <x v="5"/>
    <m/>
    <x v="10"/>
    <m/>
    <x v="12"/>
    <m/>
  </r>
  <r>
    <n v="229"/>
    <n v="99"/>
    <n v="21"/>
    <s v="Headphones"/>
    <s v="Clothing"/>
    <n v="387"/>
    <n v="3"/>
    <x v="90"/>
    <n v="63"/>
    <x v="0"/>
    <x v="0"/>
    <n v="1161"/>
    <x v="0"/>
    <x v="5"/>
    <m/>
    <x v="10"/>
    <m/>
    <x v="12"/>
    <m/>
  </r>
  <r>
    <n v="230"/>
    <n v="149"/>
    <n v="5"/>
    <s v="Sunglasses"/>
    <s v="Accessories"/>
    <n v="345"/>
    <n v="2"/>
    <x v="91"/>
    <n v="54"/>
    <x v="1"/>
    <x v="2"/>
    <n v="690"/>
    <x v="2"/>
    <x v="5"/>
    <m/>
    <x v="10"/>
    <m/>
    <x v="12"/>
    <m/>
  </r>
  <r>
    <n v="231"/>
    <n v="73"/>
    <n v="2"/>
    <s v="Shoes"/>
    <s v="Accessories"/>
    <n v="251"/>
    <n v="4"/>
    <x v="48"/>
    <n v="38"/>
    <x v="1"/>
    <x v="0"/>
    <n v="1004"/>
    <x v="3"/>
    <x v="5"/>
    <m/>
    <x v="10"/>
    <m/>
    <x v="12"/>
    <m/>
  </r>
  <r>
    <n v="232"/>
    <n v="156"/>
    <n v="22"/>
    <s v="Sunglasses"/>
    <s v="Accessories"/>
    <n v="251"/>
    <n v="1"/>
    <x v="171"/>
    <n v="43"/>
    <x v="1"/>
    <x v="4"/>
    <n v="251"/>
    <x v="4"/>
    <x v="5"/>
    <m/>
    <x v="10"/>
    <m/>
    <x v="12"/>
    <m/>
  </r>
  <r>
    <n v="233"/>
    <n v="190"/>
    <n v="48"/>
    <s v="T-shirt"/>
    <s v="Electronics"/>
    <n v="141"/>
    <n v="3"/>
    <x v="29"/>
    <n v="63"/>
    <x v="1"/>
    <x v="4"/>
    <n v="423"/>
    <x v="0"/>
    <x v="5"/>
    <m/>
    <x v="10"/>
    <m/>
    <x v="12"/>
    <m/>
  </r>
  <r>
    <n v="234"/>
    <n v="115"/>
    <n v="2"/>
    <s v="Smartphone"/>
    <s v="Clothing"/>
    <n v="102"/>
    <n v="4"/>
    <x v="110"/>
    <n v="53"/>
    <x v="0"/>
    <x v="3"/>
    <n v="408"/>
    <x v="2"/>
    <x v="5"/>
    <m/>
    <x v="10"/>
    <m/>
    <x v="12"/>
    <m/>
  </r>
  <r>
    <n v="235"/>
    <n v="7"/>
    <n v="10"/>
    <s v="Shoes"/>
    <s v="Accessories"/>
    <n v="511"/>
    <n v="1"/>
    <x v="172"/>
    <n v="40"/>
    <x v="0"/>
    <x v="0"/>
    <n v="511"/>
    <x v="4"/>
    <x v="5"/>
    <m/>
    <x v="10"/>
    <m/>
    <x v="12"/>
    <m/>
  </r>
  <r>
    <n v="236"/>
    <n v="80"/>
    <n v="34"/>
    <s v="Watch"/>
    <s v="Accessories"/>
    <n v="611"/>
    <n v="1"/>
    <x v="173"/>
    <n v="18"/>
    <x v="1"/>
    <x v="0"/>
    <n v="611"/>
    <x v="5"/>
    <x v="5"/>
    <m/>
    <x v="10"/>
    <m/>
    <x v="12"/>
    <m/>
  </r>
  <r>
    <n v="237"/>
    <n v="144"/>
    <n v="16"/>
    <s v="Sunglasses"/>
    <s v="Accessories"/>
    <n v="558"/>
    <n v="2"/>
    <x v="174"/>
    <n v="57"/>
    <x v="0"/>
    <x v="4"/>
    <n v="1116"/>
    <x v="2"/>
    <x v="5"/>
    <m/>
    <x v="10"/>
    <m/>
    <x v="12"/>
    <m/>
  </r>
  <r>
    <n v="238"/>
    <n v="97"/>
    <n v="48"/>
    <s v="Watch"/>
    <s v="Electronics"/>
    <n v="971"/>
    <n v="3"/>
    <x v="6"/>
    <n v="32"/>
    <x v="1"/>
    <x v="2"/>
    <n v="2913"/>
    <x v="3"/>
    <x v="5"/>
    <m/>
    <x v="10"/>
    <m/>
    <x v="12"/>
    <m/>
  </r>
  <r>
    <n v="239"/>
    <n v="4"/>
    <n v="39"/>
    <s v="Sunglasses"/>
    <s v="Accessories"/>
    <n v="752"/>
    <n v="3"/>
    <x v="175"/>
    <n v="38"/>
    <x v="1"/>
    <x v="5"/>
    <n v="2256"/>
    <x v="3"/>
    <x v="5"/>
    <m/>
    <x v="10"/>
    <m/>
    <x v="12"/>
    <m/>
  </r>
  <r>
    <n v="240"/>
    <n v="4"/>
    <n v="22"/>
    <s v="Watch"/>
    <s v="Clothing"/>
    <n v="971"/>
    <n v="2"/>
    <x v="176"/>
    <n v="64"/>
    <x v="0"/>
    <x v="5"/>
    <n v="1942"/>
    <x v="0"/>
    <x v="5"/>
    <m/>
    <x v="10"/>
    <m/>
    <x v="12"/>
    <m/>
  </r>
  <r>
    <n v="241"/>
    <n v="103"/>
    <n v="12"/>
    <s v="Sunglasses"/>
    <s v="Electronics"/>
    <n v="865"/>
    <n v="2"/>
    <x v="24"/>
    <n v="26"/>
    <x v="1"/>
    <x v="0"/>
    <n v="1730"/>
    <x v="1"/>
    <x v="5"/>
    <m/>
    <x v="10"/>
    <m/>
    <x v="12"/>
    <m/>
  </r>
  <r>
    <n v="242"/>
    <n v="40"/>
    <n v="24"/>
    <s v="Watch"/>
    <s v="Electronics"/>
    <n v="439"/>
    <n v="3"/>
    <x v="70"/>
    <n v="26"/>
    <x v="1"/>
    <x v="5"/>
    <n v="1317"/>
    <x v="1"/>
    <x v="5"/>
    <m/>
    <x v="10"/>
    <m/>
    <x v="12"/>
    <m/>
  </r>
  <r>
    <n v="243"/>
    <n v="17"/>
    <n v="47"/>
    <s v="T-shirt"/>
    <s v="Accessories"/>
    <n v="871"/>
    <n v="3"/>
    <x v="67"/>
    <n v="27"/>
    <x v="0"/>
    <x v="4"/>
    <n v="2613"/>
    <x v="1"/>
    <x v="5"/>
    <m/>
    <x v="10"/>
    <m/>
    <x v="12"/>
    <m/>
  </r>
  <r>
    <n v="244"/>
    <n v="101"/>
    <n v="40"/>
    <s v="Camera"/>
    <s v="Electronics"/>
    <n v="451"/>
    <n v="4"/>
    <x v="97"/>
    <n v="43"/>
    <x v="1"/>
    <x v="4"/>
    <n v="1804"/>
    <x v="4"/>
    <x v="5"/>
    <m/>
    <x v="10"/>
    <m/>
    <x v="12"/>
    <m/>
  </r>
  <r>
    <n v="245"/>
    <n v="103"/>
    <n v="38"/>
    <s v="Shoes"/>
    <s v="Clothing"/>
    <n v="928"/>
    <n v="4"/>
    <x v="15"/>
    <n v="58"/>
    <x v="1"/>
    <x v="0"/>
    <n v="3712"/>
    <x v="2"/>
    <x v="5"/>
    <m/>
    <x v="10"/>
    <m/>
    <x v="12"/>
    <m/>
  </r>
  <r>
    <n v="246"/>
    <n v="124"/>
    <n v="10"/>
    <s v="Headphones"/>
    <s v="Clothing"/>
    <n v="130"/>
    <n v="2"/>
    <x v="177"/>
    <n v="52"/>
    <x v="1"/>
    <x v="0"/>
    <n v="260"/>
    <x v="2"/>
    <x v="5"/>
    <m/>
    <x v="10"/>
    <m/>
    <x v="12"/>
    <m/>
  </r>
  <r>
    <n v="247"/>
    <n v="52"/>
    <n v="35"/>
    <s v="Smartphone"/>
    <s v="Electronics"/>
    <n v="947"/>
    <n v="4"/>
    <x v="178"/>
    <n v="42"/>
    <x v="1"/>
    <x v="3"/>
    <n v="3788"/>
    <x v="4"/>
    <x v="5"/>
    <m/>
    <x v="10"/>
    <m/>
    <x v="12"/>
    <m/>
  </r>
  <r>
    <n v="248"/>
    <n v="52"/>
    <n v="49"/>
    <s v="Jacket"/>
    <s v="Accessories"/>
    <n v="779"/>
    <n v="1"/>
    <x v="179"/>
    <n v="43"/>
    <x v="0"/>
    <x v="0"/>
    <n v="779"/>
    <x v="4"/>
    <x v="5"/>
    <m/>
    <x v="10"/>
    <m/>
    <x v="12"/>
    <m/>
  </r>
  <r>
    <n v="249"/>
    <n v="164"/>
    <n v="32"/>
    <s v="Laptop"/>
    <s v="Electronics"/>
    <n v="477"/>
    <n v="4"/>
    <x v="5"/>
    <n v="28"/>
    <x v="0"/>
    <x v="2"/>
    <n v="1908"/>
    <x v="1"/>
    <x v="5"/>
    <m/>
    <x v="10"/>
    <m/>
    <x v="12"/>
    <m/>
  </r>
  <r>
    <n v="250"/>
    <n v="124"/>
    <n v="7"/>
    <s v="Headphones"/>
    <s v="Clothing"/>
    <n v="752"/>
    <n v="4"/>
    <x v="160"/>
    <n v="55"/>
    <x v="0"/>
    <x v="5"/>
    <n v="3008"/>
    <x v="2"/>
    <x v="5"/>
    <m/>
    <x v="10"/>
    <m/>
    <x v="12"/>
    <m/>
  </r>
  <r>
    <n v="251"/>
    <n v="166"/>
    <n v="21"/>
    <s v="Laptop"/>
    <s v="Accessories"/>
    <n v="526"/>
    <n v="1"/>
    <x v="90"/>
    <n v="19"/>
    <x v="1"/>
    <x v="0"/>
    <n v="526"/>
    <x v="5"/>
    <x v="5"/>
    <m/>
    <x v="10"/>
    <m/>
    <x v="12"/>
    <m/>
  </r>
  <r>
    <n v="252"/>
    <n v="178"/>
    <n v="20"/>
    <s v="Shoes"/>
    <s v="Clothing"/>
    <n v="437"/>
    <n v="2"/>
    <x v="78"/>
    <n v="24"/>
    <x v="1"/>
    <x v="1"/>
    <n v="874"/>
    <x v="1"/>
    <x v="5"/>
    <m/>
    <x v="10"/>
    <m/>
    <x v="12"/>
    <m/>
  </r>
  <r>
    <n v="253"/>
    <n v="63"/>
    <n v="26"/>
    <s v="Headphones"/>
    <s v="Accessories"/>
    <n v="451"/>
    <n v="1"/>
    <x v="140"/>
    <n v="35"/>
    <x v="0"/>
    <x v="3"/>
    <n v="451"/>
    <x v="3"/>
    <x v="5"/>
    <m/>
    <x v="10"/>
    <m/>
    <x v="12"/>
    <m/>
  </r>
  <r>
    <n v="254"/>
    <n v="116"/>
    <n v="4"/>
    <s v="Watch"/>
    <s v="Electronics"/>
    <n v="611"/>
    <n v="4"/>
    <x v="122"/>
    <n v="44"/>
    <x v="1"/>
    <x v="1"/>
    <n v="2444"/>
    <x v="4"/>
    <x v="5"/>
    <m/>
    <x v="10"/>
    <m/>
    <x v="12"/>
    <m/>
  </r>
  <r>
    <n v="255"/>
    <n v="191"/>
    <n v="46"/>
    <s v="Watch"/>
    <s v="Electronics"/>
    <n v="774"/>
    <n v="2"/>
    <x v="180"/>
    <n v="51"/>
    <x v="1"/>
    <x v="4"/>
    <n v="1548"/>
    <x v="2"/>
    <x v="5"/>
    <m/>
    <x v="10"/>
    <m/>
    <x v="12"/>
    <m/>
  </r>
  <r>
    <n v="256"/>
    <n v="62"/>
    <n v="22"/>
    <s v="Jacket"/>
    <s v="Electronics"/>
    <n v="751"/>
    <n v="4"/>
    <x v="58"/>
    <n v="44"/>
    <x v="1"/>
    <x v="5"/>
    <n v="3004"/>
    <x v="4"/>
    <x v="5"/>
    <m/>
    <x v="10"/>
    <m/>
    <x v="12"/>
    <m/>
  </r>
  <r>
    <n v="257"/>
    <n v="7"/>
    <n v="15"/>
    <s v="Laptop"/>
    <s v="Electronics"/>
    <n v="345"/>
    <n v="1"/>
    <x v="181"/>
    <n v="34"/>
    <x v="1"/>
    <x v="0"/>
    <n v="345"/>
    <x v="3"/>
    <x v="5"/>
    <m/>
    <x v="10"/>
    <m/>
    <x v="12"/>
    <m/>
  </r>
  <r>
    <n v="258"/>
    <n v="155"/>
    <n v="40"/>
    <s v="Smartphone"/>
    <s v="Accessories"/>
    <n v="971"/>
    <n v="1"/>
    <x v="28"/>
    <n v="60"/>
    <x v="0"/>
    <x v="1"/>
    <n v="971"/>
    <x v="0"/>
    <x v="5"/>
    <m/>
    <x v="10"/>
    <m/>
    <x v="12"/>
    <m/>
  </r>
  <r>
    <n v="259"/>
    <n v="92"/>
    <n v="21"/>
    <s v="Shoes"/>
    <s v="Accessories"/>
    <n v="51"/>
    <n v="4"/>
    <x v="40"/>
    <n v="61"/>
    <x v="0"/>
    <x v="5"/>
    <n v="204"/>
    <x v="0"/>
    <x v="5"/>
    <m/>
    <x v="10"/>
    <m/>
    <x v="12"/>
    <m/>
  </r>
  <r>
    <n v="260"/>
    <n v="14"/>
    <n v="15"/>
    <s v="Watch"/>
    <s v="Electronics"/>
    <n v="798"/>
    <n v="3"/>
    <x v="182"/>
    <n v="41"/>
    <x v="0"/>
    <x v="4"/>
    <n v="2394"/>
    <x v="4"/>
    <x v="5"/>
    <m/>
    <x v="10"/>
    <m/>
    <x v="12"/>
    <m/>
  </r>
  <r>
    <n v="261"/>
    <n v="199"/>
    <n v="22"/>
    <s v="Camera"/>
    <s v="Electronics"/>
    <n v="301"/>
    <n v="3"/>
    <x v="183"/>
    <n v="42"/>
    <x v="1"/>
    <x v="2"/>
    <n v="903"/>
    <x v="4"/>
    <x v="5"/>
    <m/>
    <x v="10"/>
    <m/>
    <x v="12"/>
    <m/>
  </r>
  <r>
    <n v="262"/>
    <n v="86"/>
    <n v="28"/>
    <s v="T-shirt"/>
    <s v="Accessories"/>
    <n v="776"/>
    <n v="1"/>
    <x v="17"/>
    <n v="24"/>
    <x v="0"/>
    <x v="3"/>
    <n v="776"/>
    <x v="1"/>
    <x v="5"/>
    <m/>
    <x v="10"/>
    <m/>
    <x v="12"/>
    <m/>
  </r>
  <r>
    <n v="263"/>
    <n v="133"/>
    <n v="14"/>
    <s v="T-shirt"/>
    <s v="Accessories"/>
    <n v="841"/>
    <n v="1"/>
    <x v="143"/>
    <n v="23"/>
    <x v="0"/>
    <x v="5"/>
    <n v="841"/>
    <x v="1"/>
    <x v="5"/>
    <m/>
    <x v="10"/>
    <m/>
    <x v="12"/>
    <m/>
  </r>
  <r>
    <n v="264"/>
    <n v="183"/>
    <n v="27"/>
    <s v="Sunglasses"/>
    <s v="Accessories"/>
    <n v="155"/>
    <n v="3"/>
    <x v="184"/>
    <n v="41"/>
    <x v="1"/>
    <x v="5"/>
    <n v="465"/>
    <x v="4"/>
    <x v="5"/>
    <m/>
    <x v="10"/>
    <m/>
    <x v="12"/>
    <m/>
  </r>
  <r>
    <n v="265"/>
    <n v="130"/>
    <n v="41"/>
    <s v="Smartphone"/>
    <s v="Electronics"/>
    <n v="928"/>
    <n v="3"/>
    <x v="185"/>
    <n v="50"/>
    <x v="1"/>
    <x v="2"/>
    <n v="2784"/>
    <x v="2"/>
    <x v="5"/>
    <m/>
    <x v="10"/>
    <m/>
    <x v="12"/>
    <m/>
  </r>
  <r>
    <n v="266"/>
    <n v="62"/>
    <n v="40"/>
    <s v="T-shirt"/>
    <s v="Clothing"/>
    <n v="251"/>
    <n v="4"/>
    <x v="28"/>
    <n v="46"/>
    <x v="0"/>
    <x v="5"/>
    <n v="1004"/>
    <x v="4"/>
    <x v="5"/>
    <m/>
    <x v="10"/>
    <m/>
    <x v="12"/>
    <m/>
  </r>
  <r>
    <n v="267"/>
    <n v="149"/>
    <n v="28"/>
    <s v="Sunglasses"/>
    <s v="Clothing"/>
    <n v="928"/>
    <n v="4"/>
    <x v="186"/>
    <n v="60"/>
    <x v="0"/>
    <x v="4"/>
    <n v="3712"/>
    <x v="0"/>
    <x v="5"/>
    <m/>
    <x v="10"/>
    <m/>
    <x v="12"/>
    <m/>
  </r>
  <r>
    <n v="268"/>
    <n v="79"/>
    <n v="26"/>
    <s v="Laptop"/>
    <s v="Clothing"/>
    <n v="319"/>
    <n v="3"/>
    <x v="187"/>
    <n v="39"/>
    <x v="0"/>
    <x v="4"/>
    <n v="957"/>
    <x v="3"/>
    <x v="5"/>
    <m/>
    <x v="10"/>
    <m/>
    <x v="12"/>
    <m/>
  </r>
  <r>
    <n v="269"/>
    <n v="149"/>
    <n v="49"/>
    <s v="Watch"/>
    <s v="Accessories"/>
    <n v="387"/>
    <n v="4"/>
    <x v="75"/>
    <n v="43"/>
    <x v="0"/>
    <x v="2"/>
    <n v="1548"/>
    <x v="4"/>
    <x v="5"/>
    <m/>
    <x v="10"/>
    <m/>
    <x v="12"/>
    <m/>
  </r>
  <r>
    <n v="270"/>
    <n v="138"/>
    <n v="2"/>
    <s v="Watch"/>
    <s v="Clothing"/>
    <n v="389"/>
    <n v="4"/>
    <x v="73"/>
    <n v="45"/>
    <x v="1"/>
    <x v="3"/>
    <n v="1556"/>
    <x v="4"/>
    <x v="5"/>
    <m/>
    <x v="10"/>
    <m/>
    <x v="12"/>
    <m/>
  </r>
  <r>
    <n v="271"/>
    <n v="58"/>
    <n v="25"/>
    <s v="Camera"/>
    <s v="Electronics"/>
    <n v="774"/>
    <n v="2"/>
    <x v="188"/>
    <n v="38"/>
    <x v="0"/>
    <x v="0"/>
    <n v="1548"/>
    <x v="3"/>
    <x v="5"/>
    <m/>
    <x v="10"/>
    <m/>
    <x v="12"/>
    <m/>
  </r>
  <r>
    <n v="272"/>
    <n v="120"/>
    <n v="3"/>
    <s v="Headphones"/>
    <s v="Electronics"/>
    <n v="102"/>
    <n v="4"/>
    <x v="189"/>
    <n v="24"/>
    <x v="0"/>
    <x v="1"/>
    <n v="408"/>
    <x v="1"/>
    <x v="5"/>
    <m/>
    <x v="10"/>
    <m/>
    <x v="12"/>
    <m/>
  </r>
  <r>
    <n v="273"/>
    <n v="167"/>
    <n v="8"/>
    <s v="T-shirt"/>
    <s v="Accessories"/>
    <n v="912"/>
    <n v="1"/>
    <x v="190"/>
    <n v="34"/>
    <x v="1"/>
    <x v="0"/>
    <n v="912"/>
    <x v="3"/>
    <x v="5"/>
    <m/>
    <x v="10"/>
    <m/>
    <x v="12"/>
    <m/>
  </r>
  <r>
    <n v="274"/>
    <n v="133"/>
    <n v="44"/>
    <s v="Laptop"/>
    <s v="Electronics"/>
    <n v="301"/>
    <n v="4"/>
    <x v="165"/>
    <n v="37"/>
    <x v="0"/>
    <x v="5"/>
    <n v="1204"/>
    <x v="3"/>
    <x v="5"/>
    <m/>
    <x v="10"/>
    <m/>
    <x v="12"/>
    <m/>
  </r>
  <r>
    <n v="275"/>
    <n v="65"/>
    <n v="33"/>
    <s v="Tablet"/>
    <s v="Accessories"/>
    <n v="825"/>
    <n v="4"/>
    <x v="43"/>
    <n v="58"/>
    <x v="1"/>
    <x v="1"/>
    <n v="3300"/>
    <x v="2"/>
    <x v="5"/>
    <m/>
    <x v="10"/>
    <m/>
    <x v="12"/>
    <m/>
  </r>
  <r>
    <n v="276"/>
    <n v="13"/>
    <n v="42"/>
    <s v="T-shirt"/>
    <s v="Clothing"/>
    <n v="971"/>
    <n v="3"/>
    <x v="162"/>
    <n v="37"/>
    <x v="1"/>
    <x v="2"/>
    <n v="2913"/>
    <x v="3"/>
    <x v="5"/>
    <m/>
    <x v="10"/>
    <m/>
    <x v="12"/>
    <m/>
  </r>
  <r>
    <n v="277"/>
    <n v="181"/>
    <n v="35"/>
    <s v="Smartphone"/>
    <s v="Clothing"/>
    <n v="614"/>
    <n v="1"/>
    <x v="103"/>
    <n v="39"/>
    <x v="1"/>
    <x v="2"/>
    <n v="614"/>
    <x v="3"/>
    <x v="5"/>
    <m/>
    <x v="10"/>
    <m/>
    <x v="12"/>
    <m/>
  </r>
  <r>
    <n v="278"/>
    <n v="82"/>
    <n v="6"/>
    <s v="Headphones"/>
    <s v="Accessories"/>
    <n v="319"/>
    <n v="4"/>
    <x v="74"/>
    <n v="45"/>
    <x v="0"/>
    <x v="3"/>
    <n v="1276"/>
    <x v="4"/>
    <x v="5"/>
    <m/>
    <x v="10"/>
    <m/>
    <x v="12"/>
    <m/>
  </r>
  <r>
    <n v="279"/>
    <n v="173"/>
    <n v="39"/>
    <s v="T-shirt"/>
    <s v="Accessories"/>
    <n v="825"/>
    <n v="4"/>
    <x v="191"/>
    <n v="57"/>
    <x v="0"/>
    <x v="1"/>
    <n v="3300"/>
    <x v="2"/>
    <x v="5"/>
    <m/>
    <x v="10"/>
    <m/>
    <x v="12"/>
    <m/>
  </r>
  <r>
    <n v="280"/>
    <n v="160"/>
    <n v="23"/>
    <s v="Laptop"/>
    <s v="Electronics"/>
    <n v="981"/>
    <n v="2"/>
    <x v="141"/>
    <n v="24"/>
    <x v="1"/>
    <x v="4"/>
    <n v="1962"/>
    <x v="1"/>
    <x v="5"/>
    <m/>
    <x v="10"/>
    <m/>
    <x v="12"/>
    <m/>
  </r>
  <r>
    <n v="281"/>
    <n v="164"/>
    <n v="25"/>
    <s v="T-shirt"/>
    <s v="Electronics"/>
    <n v="921"/>
    <n v="4"/>
    <x v="137"/>
    <n v="18"/>
    <x v="0"/>
    <x v="1"/>
    <n v="3684"/>
    <x v="5"/>
    <x v="5"/>
    <m/>
    <x v="10"/>
    <m/>
    <x v="12"/>
    <m/>
  </r>
  <r>
    <n v="282"/>
    <n v="188"/>
    <n v="50"/>
    <s v="Smartphone"/>
    <s v="Clothing"/>
    <n v="605"/>
    <n v="4"/>
    <x v="192"/>
    <n v="49"/>
    <x v="0"/>
    <x v="5"/>
    <n v="2420"/>
    <x v="4"/>
    <x v="5"/>
    <m/>
    <x v="10"/>
    <m/>
    <x v="12"/>
    <m/>
  </r>
  <r>
    <n v="283"/>
    <n v="139"/>
    <n v="43"/>
    <s v="Tablet"/>
    <s v="Clothing"/>
    <n v="102"/>
    <n v="2"/>
    <x v="37"/>
    <n v="30"/>
    <x v="1"/>
    <x v="4"/>
    <n v="204"/>
    <x v="3"/>
    <x v="5"/>
    <m/>
    <x v="10"/>
    <m/>
    <x v="12"/>
    <m/>
  </r>
  <r>
    <n v="284"/>
    <n v="191"/>
    <n v="19"/>
    <s v="Shoes"/>
    <s v="Electronics"/>
    <n v="558"/>
    <n v="3"/>
    <x v="65"/>
    <n v="47"/>
    <x v="1"/>
    <x v="2"/>
    <n v="1674"/>
    <x v="4"/>
    <x v="5"/>
    <m/>
    <x v="10"/>
    <m/>
    <x v="12"/>
    <m/>
  </r>
  <r>
    <n v="285"/>
    <n v="149"/>
    <n v="5"/>
    <s v="Jacket"/>
    <s v="Accessories"/>
    <n v="921"/>
    <n v="4"/>
    <x v="127"/>
    <n v="40"/>
    <x v="0"/>
    <x v="1"/>
    <n v="3684"/>
    <x v="4"/>
    <x v="5"/>
    <m/>
    <x v="10"/>
    <m/>
    <x v="12"/>
    <m/>
  </r>
  <r>
    <n v="286"/>
    <n v="52"/>
    <n v="11"/>
    <s v="Tablet"/>
    <s v="Clothing"/>
    <n v="511"/>
    <n v="2"/>
    <x v="97"/>
    <n v="36"/>
    <x v="1"/>
    <x v="0"/>
    <n v="1022"/>
    <x v="3"/>
    <x v="5"/>
    <m/>
    <x v="10"/>
    <m/>
    <x v="12"/>
    <m/>
  </r>
  <r>
    <n v="287"/>
    <n v="183"/>
    <n v="12"/>
    <s v="Sunglasses"/>
    <s v="Accessories"/>
    <n v="437"/>
    <n v="1"/>
    <x v="7"/>
    <n v="49"/>
    <x v="0"/>
    <x v="3"/>
    <n v="437"/>
    <x v="4"/>
    <x v="5"/>
    <m/>
    <x v="10"/>
    <m/>
    <x v="12"/>
    <m/>
  </r>
  <r>
    <n v="288"/>
    <n v="117"/>
    <n v="10"/>
    <s v="T-shirt"/>
    <s v="Accessories"/>
    <n v="320"/>
    <n v="3"/>
    <x v="92"/>
    <n v="47"/>
    <x v="0"/>
    <x v="0"/>
    <n v="960"/>
    <x v="4"/>
    <x v="5"/>
    <m/>
    <x v="10"/>
    <m/>
    <x v="12"/>
    <m/>
  </r>
  <r>
    <n v="289"/>
    <n v="26"/>
    <n v="8"/>
    <s v="Watch"/>
    <s v="Clothing"/>
    <n v="84"/>
    <n v="1"/>
    <x v="193"/>
    <n v="46"/>
    <x v="0"/>
    <x v="3"/>
    <n v="84"/>
    <x v="4"/>
    <x v="5"/>
    <m/>
    <x v="10"/>
    <m/>
    <x v="12"/>
    <m/>
  </r>
  <r>
    <n v="290"/>
    <n v="196"/>
    <n v="24"/>
    <s v="Camera"/>
    <s v="Clothing"/>
    <n v="387"/>
    <n v="1"/>
    <x v="34"/>
    <n v="62"/>
    <x v="0"/>
    <x v="5"/>
    <n v="387"/>
    <x v="0"/>
    <x v="5"/>
    <m/>
    <x v="10"/>
    <m/>
    <x v="12"/>
    <m/>
  </r>
  <r>
    <n v="291"/>
    <n v="34"/>
    <n v="28"/>
    <s v="Watch"/>
    <s v="Accessories"/>
    <n v="614"/>
    <n v="2"/>
    <x v="194"/>
    <n v="46"/>
    <x v="1"/>
    <x v="0"/>
    <n v="1228"/>
    <x v="4"/>
    <x v="5"/>
    <m/>
    <x v="10"/>
    <m/>
    <x v="12"/>
    <m/>
  </r>
  <r>
    <n v="292"/>
    <n v="52"/>
    <n v="41"/>
    <s v="Tablet"/>
    <s v="Accessories"/>
    <n v="558"/>
    <n v="4"/>
    <x v="195"/>
    <n v="47"/>
    <x v="1"/>
    <x v="1"/>
    <n v="2232"/>
    <x v="4"/>
    <x v="5"/>
    <m/>
    <x v="10"/>
    <m/>
    <x v="12"/>
    <m/>
  </r>
  <r>
    <n v="293"/>
    <n v="112"/>
    <n v="36"/>
    <s v="Watch"/>
    <s v="Accessories"/>
    <n v="511"/>
    <n v="2"/>
    <x v="87"/>
    <n v="33"/>
    <x v="1"/>
    <x v="1"/>
    <n v="1022"/>
    <x v="3"/>
    <x v="5"/>
    <m/>
    <x v="10"/>
    <m/>
    <x v="12"/>
    <m/>
  </r>
  <r>
    <n v="294"/>
    <n v="82"/>
    <n v="37"/>
    <s v="Laptop"/>
    <s v="Electronics"/>
    <n v="826"/>
    <n v="2"/>
    <x v="107"/>
    <n v="57"/>
    <x v="1"/>
    <x v="0"/>
    <n v="1652"/>
    <x v="2"/>
    <x v="5"/>
    <m/>
    <x v="10"/>
    <m/>
    <x v="12"/>
    <m/>
  </r>
  <r>
    <n v="295"/>
    <n v="180"/>
    <n v="21"/>
    <s v="Watch"/>
    <s v="Clothing"/>
    <n v="752"/>
    <n v="2"/>
    <x v="196"/>
    <n v="36"/>
    <x v="0"/>
    <x v="1"/>
    <n v="1504"/>
    <x v="3"/>
    <x v="5"/>
    <m/>
    <x v="10"/>
    <m/>
    <x v="12"/>
    <m/>
  </r>
  <r>
    <n v="296"/>
    <n v="157"/>
    <n v="8"/>
    <s v="Headphones"/>
    <s v="Clothing"/>
    <n v="387"/>
    <n v="2"/>
    <x v="135"/>
    <n v="35"/>
    <x v="0"/>
    <x v="5"/>
    <n v="774"/>
    <x v="3"/>
    <x v="5"/>
    <m/>
    <x v="10"/>
    <m/>
    <x v="12"/>
    <m/>
  </r>
  <r>
    <n v="297"/>
    <n v="166"/>
    <n v="9"/>
    <s v="Shoes"/>
    <s v="Clothing"/>
    <n v="504"/>
    <n v="3"/>
    <x v="92"/>
    <n v="18"/>
    <x v="1"/>
    <x v="4"/>
    <n v="1512"/>
    <x v="5"/>
    <x v="5"/>
    <m/>
    <x v="10"/>
    <m/>
    <x v="12"/>
    <m/>
  </r>
  <r>
    <n v="298"/>
    <n v="42"/>
    <n v="47"/>
    <s v="T-shirt"/>
    <s v="Clothing"/>
    <n v="387"/>
    <n v="4"/>
    <x v="197"/>
    <n v="31"/>
    <x v="0"/>
    <x v="5"/>
    <n v="1548"/>
    <x v="3"/>
    <x v="5"/>
    <m/>
    <x v="10"/>
    <m/>
    <x v="12"/>
    <m/>
  </r>
  <r>
    <n v="299"/>
    <n v="21"/>
    <n v="15"/>
    <s v="Watch"/>
    <s v="Electronics"/>
    <n v="345"/>
    <n v="1"/>
    <x v="82"/>
    <n v="64"/>
    <x v="0"/>
    <x v="3"/>
    <n v="345"/>
    <x v="0"/>
    <x v="5"/>
    <m/>
    <x v="10"/>
    <m/>
    <x v="12"/>
    <m/>
  </r>
  <r>
    <n v="300"/>
    <n v="42"/>
    <n v="48"/>
    <s v="Smartphone"/>
    <s v="Accessories"/>
    <n v="611"/>
    <n v="1"/>
    <x v="93"/>
    <n v="19"/>
    <x v="0"/>
    <x v="5"/>
    <n v="611"/>
    <x v="5"/>
    <x v="5"/>
    <m/>
    <x v="10"/>
    <m/>
    <x v="12"/>
    <m/>
  </r>
  <r>
    <n v="301"/>
    <n v="141"/>
    <n v="46"/>
    <s v="Shoes"/>
    <s v="Electronics"/>
    <n v="477"/>
    <n v="4"/>
    <x v="198"/>
    <n v="45"/>
    <x v="1"/>
    <x v="3"/>
    <n v="1908"/>
    <x v="4"/>
    <x v="5"/>
    <m/>
    <x v="10"/>
    <m/>
    <x v="12"/>
    <m/>
  </r>
  <r>
    <n v="302"/>
    <n v="113"/>
    <n v="40"/>
    <s v="Shoes"/>
    <s v="Electronics"/>
    <n v="141"/>
    <n v="1"/>
    <x v="199"/>
    <n v="47"/>
    <x v="1"/>
    <x v="1"/>
    <n v="141"/>
    <x v="4"/>
    <x v="5"/>
    <m/>
    <x v="10"/>
    <m/>
    <x v="12"/>
    <m/>
  </r>
  <r>
    <n v="303"/>
    <n v="105"/>
    <n v="18"/>
    <s v="Watch"/>
    <s v="Accessories"/>
    <n v="774"/>
    <n v="4"/>
    <x v="190"/>
    <n v="55"/>
    <x v="1"/>
    <x v="4"/>
    <n v="3096"/>
    <x v="2"/>
    <x v="5"/>
    <m/>
    <x v="10"/>
    <m/>
    <x v="12"/>
    <m/>
  </r>
  <r>
    <n v="304"/>
    <n v="192"/>
    <n v="42"/>
    <s v="Shoes"/>
    <s v="Accessories"/>
    <n v="871"/>
    <n v="1"/>
    <x v="200"/>
    <n v="21"/>
    <x v="0"/>
    <x v="1"/>
    <n v="871"/>
    <x v="1"/>
    <x v="5"/>
    <m/>
    <x v="10"/>
    <m/>
    <x v="12"/>
    <m/>
  </r>
  <r>
    <n v="305"/>
    <n v="17"/>
    <n v="20"/>
    <s v="Camera"/>
    <s v="Accessories"/>
    <n v="776"/>
    <n v="2"/>
    <x v="123"/>
    <n v="18"/>
    <x v="1"/>
    <x v="2"/>
    <n v="1552"/>
    <x v="5"/>
    <x v="5"/>
    <m/>
    <x v="10"/>
    <m/>
    <x v="12"/>
    <m/>
  </r>
  <r>
    <n v="306"/>
    <n v="120"/>
    <n v="6"/>
    <s v="Watch"/>
    <s v="Clothing"/>
    <n v="841"/>
    <n v="1"/>
    <x v="177"/>
    <n v="25"/>
    <x v="1"/>
    <x v="1"/>
    <n v="841"/>
    <x v="1"/>
    <x v="5"/>
    <m/>
    <x v="10"/>
    <m/>
    <x v="12"/>
    <m/>
  </r>
  <r>
    <n v="307"/>
    <n v="137"/>
    <n v="12"/>
    <s v="Laptop"/>
    <s v="Accessories"/>
    <n v="451"/>
    <n v="4"/>
    <x v="176"/>
    <n v="46"/>
    <x v="1"/>
    <x v="3"/>
    <n v="1804"/>
    <x v="4"/>
    <x v="5"/>
    <m/>
    <x v="10"/>
    <m/>
    <x v="12"/>
    <m/>
  </r>
  <r>
    <n v="308"/>
    <n v="169"/>
    <n v="2"/>
    <s v="Tablet"/>
    <s v="Accessories"/>
    <n v="319"/>
    <n v="4"/>
    <x v="41"/>
    <n v="56"/>
    <x v="1"/>
    <x v="1"/>
    <n v="1276"/>
    <x v="2"/>
    <x v="5"/>
    <m/>
    <x v="10"/>
    <m/>
    <x v="12"/>
    <m/>
  </r>
  <r>
    <n v="309"/>
    <n v="129"/>
    <n v="7"/>
    <s v="Headphones"/>
    <s v="Accessories"/>
    <n v="505"/>
    <n v="4"/>
    <x v="117"/>
    <n v="20"/>
    <x v="1"/>
    <x v="1"/>
    <n v="2020"/>
    <x v="1"/>
    <x v="5"/>
    <m/>
    <x v="10"/>
    <m/>
    <x v="12"/>
    <m/>
  </r>
  <r>
    <n v="310"/>
    <n v="130"/>
    <n v="16"/>
    <s v="Jacket"/>
    <s v="Accessories"/>
    <n v="477"/>
    <n v="4"/>
    <x v="139"/>
    <n v="49"/>
    <x v="1"/>
    <x v="4"/>
    <n v="1908"/>
    <x v="4"/>
    <x v="5"/>
    <m/>
    <x v="10"/>
    <m/>
    <x v="12"/>
    <m/>
  </r>
  <r>
    <n v="311"/>
    <n v="60"/>
    <n v="3"/>
    <s v="Sunglasses"/>
    <s v="Accessories"/>
    <n v="921"/>
    <n v="4"/>
    <x v="155"/>
    <n v="27"/>
    <x v="0"/>
    <x v="1"/>
    <n v="3684"/>
    <x v="1"/>
    <x v="5"/>
    <m/>
    <x v="10"/>
    <m/>
    <x v="12"/>
    <m/>
  </r>
  <r>
    <n v="312"/>
    <n v="48"/>
    <n v="45"/>
    <s v="Shoes"/>
    <s v="Electronics"/>
    <n v="439"/>
    <n v="3"/>
    <x v="201"/>
    <n v="27"/>
    <x v="0"/>
    <x v="4"/>
    <n v="1317"/>
    <x v="1"/>
    <x v="5"/>
    <m/>
    <x v="10"/>
    <m/>
    <x v="12"/>
    <m/>
  </r>
  <r>
    <n v="313"/>
    <n v="29"/>
    <n v="3"/>
    <s v="Laptop"/>
    <s v="Clothing"/>
    <n v="395"/>
    <n v="3"/>
    <x v="143"/>
    <n v="36"/>
    <x v="1"/>
    <x v="0"/>
    <n v="1185"/>
    <x v="3"/>
    <x v="5"/>
    <m/>
    <x v="10"/>
    <m/>
    <x v="12"/>
    <m/>
  </r>
  <r>
    <n v="314"/>
    <n v="97"/>
    <n v="27"/>
    <s v="T-shirt"/>
    <s v="Accessories"/>
    <n v="774"/>
    <n v="1"/>
    <x v="202"/>
    <n v="63"/>
    <x v="1"/>
    <x v="2"/>
    <n v="774"/>
    <x v="0"/>
    <x v="5"/>
    <m/>
    <x v="10"/>
    <m/>
    <x v="12"/>
    <m/>
  </r>
  <r>
    <n v="315"/>
    <n v="10"/>
    <n v="50"/>
    <s v="T-shirt"/>
    <s v="Accessories"/>
    <n v="511"/>
    <n v="4"/>
    <x v="203"/>
    <n v="51"/>
    <x v="0"/>
    <x v="4"/>
    <n v="2044"/>
    <x v="2"/>
    <x v="5"/>
    <m/>
    <x v="10"/>
    <m/>
    <x v="12"/>
    <m/>
  </r>
  <r>
    <n v="316"/>
    <n v="58"/>
    <n v="43"/>
    <s v="Sunglasses"/>
    <s v="Electronics"/>
    <n v="301"/>
    <n v="1"/>
    <x v="6"/>
    <n v="50"/>
    <x v="0"/>
    <x v="3"/>
    <n v="301"/>
    <x v="2"/>
    <x v="5"/>
    <m/>
    <x v="10"/>
    <m/>
    <x v="12"/>
    <m/>
  </r>
  <r>
    <n v="317"/>
    <n v="188"/>
    <n v="40"/>
    <s v="Headphones"/>
    <s v="Clothing"/>
    <n v="320"/>
    <n v="4"/>
    <x v="204"/>
    <n v="40"/>
    <x v="1"/>
    <x v="0"/>
    <n v="1280"/>
    <x v="4"/>
    <x v="5"/>
    <m/>
    <x v="10"/>
    <m/>
    <x v="12"/>
    <m/>
  </r>
  <r>
    <n v="318"/>
    <n v="21"/>
    <n v="38"/>
    <s v="Shoes"/>
    <s v="Electronics"/>
    <n v="971"/>
    <n v="4"/>
    <x v="157"/>
    <n v="45"/>
    <x v="1"/>
    <x v="4"/>
    <n v="3884"/>
    <x v="4"/>
    <x v="5"/>
    <m/>
    <x v="10"/>
    <m/>
    <x v="12"/>
    <m/>
  </r>
  <r>
    <n v="319"/>
    <n v="28"/>
    <n v="33"/>
    <s v="Camera"/>
    <s v="Electronics"/>
    <n v="774"/>
    <n v="3"/>
    <x v="205"/>
    <n v="49"/>
    <x v="1"/>
    <x v="4"/>
    <n v="2322"/>
    <x v="4"/>
    <x v="5"/>
    <m/>
    <x v="10"/>
    <m/>
    <x v="12"/>
    <m/>
  </r>
  <r>
    <n v="320"/>
    <n v="34"/>
    <n v="28"/>
    <s v="Sunglasses"/>
    <s v="Electronics"/>
    <n v="505"/>
    <n v="3"/>
    <x v="206"/>
    <n v="24"/>
    <x v="1"/>
    <x v="2"/>
    <n v="1515"/>
    <x v="1"/>
    <x v="5"/>
    <m/>
    <x v="10"/>
    <m/>
    <x v="12"/>
    <m/>
  </r>
  <r>
    <n v="321"/>
    <n v="8"/>
    <n v="1"/>
    <s v="Headphones"/>
    <s v="Accessories"/>
    <n v="130"/>
    <n v="2"/>
    <x v="207"/>
    <n v="46"/>
    <x v="0"/>
    <x v="3"/>
    <n v="260"/>
    <x v="4"/>
    <x v="5"/>
    <m/>
    <x v="10"/>
    <m/>
    <x v="12"/>
    <m/>
  </r>
  <r>
    <n v="322"/>
    <n v="187"/>
    <n v="8"/>
    <s v="Shoes"/>
    <s v="Electronics"/>
    <n v="451"/>
    <n v="3"/>
    <x v="208"/>
    <n v="25"/>
    <x v="1"/>
    <x v="5"/>
    <n v="1353"/>
    <x v="1"/>
    <x v="5"/>
    <m/>
    <x v="10"/>
    <m/>
    <x v="12"/>
    <m/>
  </r>
  <r>
    <n v="323"/>
    <n v="200"/>
    <n v="37"/>
    <s v="Laptop"/>
    <s v="Accessories"/>
    <n v="921"/>
    <n v="2"/>
    <x v="160"/>
    <n v="18"/>
    <x v="1"/>
    <x v="5"/>
    <n v="1842"/>
    <x v="5"/>
    <x v="5"/>
    <m/>
    <x v="10"/>
    <m/>
    <x v="12"/>
    <m/>
  </r>
  <r>
    <n v="324"/>
    <n v="177"/>
    <n v="32"/>
    <s v="Tablet"/>
    <s v="Accessories"/>
    <n v="912"/>
    <n v="2"/>
    <x v="71"/>
    <n v="20"/>
    <x v="1"/>
    <x v="4"/>
    <n v="1824"/>
    <x v="1"/>
    <x v="5"/>
    <m/>
    <x v="10"/>
    <m/>
    <x v="12"/>
    <m/>
  </r>
  <r>
    <n v="325"/>
    <n v="79"/>
    <n v="48"/>
    <s v="Camera"/>
    <s v="Electronics"/>
    <n v="615"/>
    <n v="2"/>
    <x v="209"/>
    <n v="41"/>
    <x v="1"/>
    <x v="1"/>
    <n v="1230"/>
    <x v="4"/>
    <x v="5"/>
    <m/>
    <x v="10"/>
    <m/>
    <x v="12"/>
    <m/>
  </r>
  <r>
    <n v="326"/>
    <n v="145"/>
    <n v="43"/>
    <s v="Jacket"/>
    <s v="Electronics"/>
    <n v="825"/>
    <n v="2"/>
    <x v="35"/>
    <n v="40"/>
    <x v="0"/>
    <x v="3"/>
    <n v="1650"/>
    <x v="4"/>
    <x v="5"/>
    <m/>
    <x v="10"/>
    <m/>
    <x v="12"/>
    <m/>
  </r>
  <r>
    <n v="327"/>
    <n v="188"/>
    <n v="37"/>
    <s v="T-shirt"/>
    <s v="Electronics"/>
    <n v="84"/>
    <n v="2"/>
    <x v="23"/>
    <n v="25"/>
    <x v="0"/>
    <x v="0"/>
    <n v="168"/>
    <x v="1"/>
    <x v="5"/>
    <m/>
    <x v="10"/>
    <m/>
    <x v="12"/>
    <m/>
  </r>
  <r>
    <n v="328"/>
    <n v="87"/>
    <n v="4"/>
    <s v="Smartphone"/>
    <s v="Accessories"/>
    <n v="947"/>
    <n v="1"/>
    <x v="42"/>
    <n v="64"/>
    <x v="0"/>
    <x v="1"/>
    <n v="947"/>
    <x v="0"/>
    <x v="5"/>
    <m/>
    <x v="10"/>
    <m/>
    <x v="12"/>
    <m/>
  </r>
  <r>
    <n v="329"/>
    <n v="88"/>
    <n v="30"/>
    <s v="Laptop"/>
    <s v="Clothing"/>
    <n v="615"/>
    <n v="3"/>
    <x v="210"/>
    <n v="54"/>
    <x v="1"/>
    <x v="1"/>
    <n v="1845"/>
    <x v="2"/>
    <x v="5"/>
    <m/>
    <x v="10"/>
    <m/>
    <x v="12"/>
    <m/>
  </r>
  <r>
    <n v="330"/>
    <n v="173"/>
    <n v="6"/>
    <s v="T-shirt"/>
    <s v="Accessories"/>
    <n v="416"/>
    <n v="2"/>
    <x v="11"/>
    <n v="20"/>
    <x v="1"/>
    <x v="3"/>
    <n v="832"/>
    <x v="1"/>
    <x v="5"/>
    <m/>
    <x v="10"/>
    <m/>
    <x v="12"/>
    <m/>
  </r>
  <r>
    <n v="331"/>
    <n v="69"/>
    <n v="46"/>
    <s v="Watch"/>
    <s v="Electronics"/>
    <n v="774"/>
    <n v="4"/>
    <x v="176"/>
    <n v="50"/>
    <x v="0"/>
    <x v="4"/>
    <n v="3096"/>
    <x v="2"/>
    <x v="5"/>
    <m/>
    <x v="10"/>
    <m/>
    <x v="12"/>
    <m/>
  </r>
  <r>
    <n v="332"/>
    <n v="160"/>
    <n v="19"/>
    <s v="Smartphone"/>
    <s v="Clothing"/>
    <n v="821"/>
    <n v="3"/>
    <x v="211"/>
    <n v="45"/>
    <x v="1"/>
    <x v="4"/>
    <n v="2463"/>
    <x v="4"/>
    <x v="5"/>
    <m/>
    <x v="10"/>
    <m/>
    <x v="12"/>
    <m/>
  </r>
  <r>
    <n v="333"/>
    <n v="172"/>
    <n v="32"/>
    <s v="T-shirt"/>
    <s v="Accessories"/>
    <n v="947"/>
    <n v="3"/>
    <x v="63"/>
    <n v="64"/>
    <x v="1"/>
    <x v="4"/>
    <n v="2841"/>
    <x v="0"/>
    <x v="5"/>
    <m/>
    <x v="10"/>
    <m/>
    <x v="12"/>
    <m/>
  </r>
  <r>
    <n v="334"/>
    <n v="193"/>
    <n v="9"/>
    <s v="Headphones"/>
    <s v="Accessories"/>
    <n v="451"/>
    <n v="2"/>
    <x v="175"/>
    <n v="25"/>
    <x v="0"/>
    <x v="4"/>
    <n v="902"/>
    <x v="1"/>
    <x v="5"/>
    <m/>
    <x v="10"/>
    <m/>
    <x v="12"/>
    <m/>
  </r>
  <r>
    <n v="335"/>
    <n v="87"/>
    <n v="12"/>
    <s v="Camera"/>
    <s v="Electronics"/>
    <n v="130"/>
    <n v="1"/>
    <x v="212"/>
    <n v="51"/>
    <x v="0"/>
    <x v="5"/>
    <n v="130"/>
    <x v="2"/>
    <x v="5"/>
    <m/>
    <x v="10"/>
    <m/>
    <x v="12"/>
    <m/>
  </r>
  <r>
    <n v="336"/>
    <n v="101"/>
    <n v="11"/>
    <s v="T-shirt"/>
    <s v="Accessories"/>
    <n v="826"/>
    <n v="2"/>
    <x v="39"/>
    <n v="52"/>
    <x v="0"/>
    <x v="4"/>
    <n v="1652"/>
    <x v="2"/>
    <x v="5"/>
    <m/>
    <x v="10"/>
    <m/>
    <x v="12"/>
    <m/>
  </r>
  <r>
    <n v="337"/>
    <n v="8"/>
    <n v="46"/>
    <s v="Jacket"/>
    <s v="Accessories"/>
    <n v="614"/>
    <n v="1"/>
    <x v="191"/>
    <n v="49"/>
    <x v="0"/>
    <x v="5"/>
    <n v="614"/>
    <x v="4"/>
    <x v="5"/>
    <m/>
    <x v="10"/>
    <m/>
    <x v="12"/>
    <m/>
  </r>
  <r>
    <n v="338"/>
    <n v="77"/>
    <n v="16"/>
    <s v="Tablet"/>
    <s v="Clothing"/>
    <n v="255"/>
    <n v="4"/>
    <x v="213"/>
    <n v="41"/>
    <x v="1"/>
    <x v="5"/>
    <n v="1020"/>
    <x v="4"/>
    <x v="5"/>
    <m/>
    <x v="10"/>
    <m/>
    <x v="12"/>
    <m/>
  </r>
  <r>
    <n v="339"/>
    <n v="200"/>
    <n v="1"/>
    <s v="Headphones"/>
    <s v="Accessories"/>
    <n v="511"/>
    <n v="3"/>
    <x v="214"/>
    <n v="31"/>
    <x v="1"/>
    <x v="4"/>
    <n v="1533"/>
    <x v="3"/>
    <x v="5"/>
    <m/>
    <x v="10"/>
    <m/>
    <x v="12"/>
    <m/>
  </r>
  <r>
    <n v="340"/>
    <n v="87"/>
    <n v="45"/>
    <s v="Laptop"/>
    <s v="Clothing"/>
    <n v="971"/>
    <n v="4"/>
    <x v="215"/>
    <n v="49"/>
    <x v="0"/>
    <x v="2"/>
    <n v="3884"/>
    <x v="4"/>
    <x v="5"/>
    <m/>
    <x v="10"/>
    <m/>
    <x v="12"/>
    <m/>
  </r>
  <r>
    <n v="341"/>
    <n v="43"/>
    <n v="21"/>
    <s v="Laptop"/>
    <s v="Clothing"/>
    <n v="826"/>
    <n v="1"/>
    <x v="165"/>
    <n v="63"/>
    <x v="1"/>
    <x v="0"/>
    <n v="826"/>
    <x v="0"/>
    <x v="5"/>
    <m/>
    <x v="10"/>
    <m/>
    <x v="12"/>
    <m/>
  </r>
  <r>
    <n v="342"/>
    <n v="129"/>
    <n v="30"/>
    <s v="Laptop"/>
    <s v="Accessories"/>
    <n v="511"/>
    <n v="1"/>
    <x v="216"/>
    <n v="60"/>
    <x v="0"/>
    <x v="1"/>
    <n v="511"/>
    <x v="0"/>
    <x v="5"/>
    <m/>
    <x v="10"/>
    <m/>
    <x v="12"/>
    <m/>
  </r>
  <r>
    <n v="343"/>
    <n v="109"/>
    <n v="13"/>
    <s v="Laptop"/>
    <s v="Accessories"/>
    <n v="511"/>
    <n v="4"/>
    <x v="170"/>
    <n v="33"/>
    <x v="0"/>
    <x v="5"/>
    <n v="2044"/>
    <x v="3"/>
    <x v="5"/>
    <m/>
    <x v="10"/>
    <m/>
    <x v="12"/>
    <m/>
  </r>
  <r>
    <n v="344"/>
    <n v="179"/>
    <n v="34"/>
    <s v="Tablet"/>
    <s v="Accessories"/>
    <n v="439"/>
    <n v="1"/>
    <x v="34"/>
    <n v="21"/>
    <x v="1"/>
    <x v="3"/>
    <n v="439"/>
    <x v="1"/>
    <x v="5"/>
    <m/>
    <x v="10"/>
    <m/>
    <x v="12"/>
    <m/>
  </r>
  <r>
    <n v="345"/>
    <n v="152"/>
    <n v="4"/>
    <s v="T-shirt"/>
    <s v="Clothing"/>
    <n v="102"/>
    <n v="4"/>
    <x v="217"/>
    <n v="54"/>
    <x v="0"/>
    <x v="3"/>
    <n v="408"/>
    <x v="2"/>
    <x v="5"/>
    <m/>
    <x v="10"/>
    <m/>
    <x v="12"/>
    <m/>
  </r>
  <r>
    <n v="346"/>
    <n v="152"/>
    <n v="28"/>
    <s v="Shoes"/>
    <s v="Electronics"/>
    <n v="779"/>
    <n v="3"/>
    <x v="86"/>
    <n v="38"/>
    <x v="1"/>
    <x v="0"/>
    <n v="2337"/>
    <x v="3"/>
    <x v="5"/>
    <m/>
    <x v="10"/>
    <m/>
    <x v="12"/>
    <m/>
  </r>
  <r>
    <n v="347"/>
    <n v="17"/>
    <n v="38"/>
    <s v="T-shirt"/>
    <s v="Electronics"/>
    <n v="389"/>
    <n v="4"/>
    <x v="218"/>
    <n v="31"/>
    <x v="1"/>
    <x v="3"/>
    <n v="1556"/>
    <x v="3"/>
    <x v="5"/>
    <m/>
    <x v="10"/>
    <m/>
    <x v="12"/>
    <m/>
  </r>
  <r>
    <n v="348"/>
    <n v="133"/>
    <n v="31"/>
    <s v="Watch"/>
    <s v="Electronics"/>
    <n v="841"/>
    <n v="3"/>
    <x v="17"/>
    <n v="48"/>
    <x v="1"/>
    <x v="2"/>
    <n v="2523"/>
    <x v="4"/>
    <x v="5"/>
    <m/>
    <x v="10"/>
    <m/>
    <x v="12"/>
    <m/>
  </r>
  <r>
    <n v="349"/>
    <n v="148"/>
    <n v="27"/>
    <s v="Camera"/>
    <s v="Accessories"/>
    <n v="558"/>
    <n v="4"/>
    <x v="149"/>
    <n v="35"/>
    <x v="1"/>
    <x v="3"/>
    <n v="2232"/>
    <x v="3"/>
    <x v="5"/>
    <m/>
    <x v="10"/>
    <m/>
    <x v="12"/>
    <m/>
  </r>
  <r>
    <n v="350"/>
    <n v="21"/>
    <n v="5"/>
    <s v="Smartphone"/>
    <s v="Clothing"/>
    <n v="451"/>
    <n v="1"/>
    <x v="219"/>
    <n v="24"/>
    <x v="0"/>
    <x v="1"/>
    <n v="451"/>
    <x v="1"/>
    <x v="5"/>
    <m/>
    <x v="10"/>
    <m/>
    <x v="12"/>
    <m/>
  </r>
  <r>
    <n v="351"/>
    <n v="58"/>
    <n v="25"/>
    <s v="Shoes"/>
    <s v="Clothing"/>
    <n v="439"/>
    <n v="4"/>
    <x v="220"/>
    <n v="27"/>
    <x v="1"/>
    <x v="1"/>
    <n v="1756"/>
    <x v="1"/>
    <x v="5"/>
    <m/>
    <x v="10"/>
    <m/>
    <x v="12"/>
    <m/>
  </r>
  <r>
    <n v="352"/>
    <n v="159"/>
    <n v="3"/>
    <s v="Shoes"/>
    <s v="Electronics"/>
    <n v="971"/>
    <n v="1"/>
    <x v="211"/>
    <n v="24"/>
    <x v="0"/>
    <x v="5"/>
    <n v="971"/>
    <x v="1"/>
    <x v="5"/>
    <m/>
    <x v="10"/>
    <m/>
    <x v="12"/>
    <m/>
  </r>
  <r>
    <n v="353"/>
    <n v="110"/>
    <n v="33"/>
    <s v="T-shirt"/>
    <s v="Accessories"/>
    <n v="416"/>
    <n v="4"/>
    <x v="197"/>
    <n v="50"/>
    <x v="0"/>
    <x v="4"/>
    <n v="1664"/>
    <x v="2"/>
    <x v="5"/>
    <m/>
    <x v="10"/>
    <m/>
    <x v="12"/>
    <m/>
  </r>
  <r>
    <n v="354"/>
    <n v="139"/>
    <n v="4"/>
    <s v="Shoes"/>
    <s v="Clothing"/>
    <n v="614"/>
    <n v="4"/>
    <x v="221"/>
    <n v="40"/>
    <x v="0"/>
    <x v="2"/>
    <n v="2456"/>
    <x v="4"/>
    <x v="5"/>
    <m/>
    <x v="10"/>
    <m/>
    <x v="12"/>
    <m/>
  </r>
  <r>
    <n v="355"/>
    <n v="180"/>
    <n v="25"/>
    <s v="Sunglasses"/>
    <s v="Electronics"/>
    <n v="798"/>
    <n v="2"/>
    <x v="103"/>
    <n v="38"/>
    <x v="0"/>
    <x v="5"/>
    <n v="1596"/>
    <x v="3"/>
    <x v="5"/>
    <m/>
    <x v="10"/>
    <m/>
    <x v="12"/>
    <m/>
  </r>
  <r>
    <n v="356"/>
    <n v="143"/>
    <n v="20"/>
    <s v="Sunglasses"/>
    <s v="Clothing"/>
    <n v="928"/>
    <n v="1"/>
    <x v="222"/>
    <n v="36"/>
    <x v="1"/>
    <x v="2"/>
    <n v="928"/>
    <x v="3"/>
    <x v="5"/>
    <m/>
    <x v="10"/>
    <m/>
    <x v="12"/>
    <m/>
  </r>
  <r>
    <n v="357"/>
    <n v="135"/>
    <n v="34"/>
    <s v="Watch"/>
    <s v="Accessories"/>
    <n v="51"/>
    <n v="2"/>
    <x v="223"/>
    <n v="36"/>
    <x v="1"/>
    <x v="4"/>
    <n v="102"/>
    <x v="3"/>
    <x v="5"/>
    <m/>
    <x v="10"/>
    <m/>
    <x v="12"/>
    <m/>
  </r>
  <r>
    <n v="358"/>
    <n v="28"/>
    <n v="26"/>
    <s v="Smartphone"/>
    <s v="Accessories"/>
    <n v="437"/>
    <n v="1"/>
    <x v="224"/>
    <n v="53"/>
    <x v="0"/>
    <x v="3"/>
    <n v="437"/>
    <x v="2"/>
    <x v="5"/>
    <m/>
    <x v="10"/>
    <m/>
    <x v="12"/>
    <m/>
  </r>
  <r>
    <n v="359"/>
    <n v="51"/>
    <n v="5"/>
    <s v="Jacket"/>
    <s v="Clothing"/>
    <n v="865"/>
    <n v="2"/>
    <x v="89"/>
    <n v="46"/>
    <x v="0"/>
    <x v="3"/>
    <n v="1730"/>
    <x v="4"/>
    <x v="5"/>
    <m/>
    <x v="10"/>
    <m/>
    <x v="12"/>
    <m/>
  </r>
  <r>
    <n v="360"/>
    <n v="186"/>
    <n v="35"/>
    <s v="Tablet"/>
    <s v="Accessories"/>
    <n v="947"/>
    <n v="3"/>
    <x v="225"/>
    <n v="35"/>
    <x v="1"/>
    <x v="4"/>
    <n v="2841"/>
    <x v="3"/>
    <x v="5"/>
    <m/>
    <x v="10"/>
    <m/>
    <x v="12"/>
    <m/>
  </r>
  <r>
    <n v="361"/>
    <n v="5"/>
    <n v="28"/>
    <s v="T-shirt"/>
    <s v="Electronics"/>
    <n v="389"/>
    <n v="4"/>
    <x v="222"/>
    <n v="19"/>
    <x v="0"/>
    <x v="5"/>
    <n v="1556"/>
    <x v="5"/>
    <x v="5"/>
    <m/>
    <x v="10"/>
    <m/>
    <x v="12"/>
    <m/>
  </r>
  <r>
    <n v="362"/>
    <n v="5"/>
    <n v="29"/>
    <s v="Tablet"/>
    <s v="Electronics"/>
    <n v="826"/>
    <n v="1"/>
    <x v="226"/>
    <n v="18"/>
    <x v="1"/>
    <x v="4"/>
    <n v="826"/>
    <x v="5"/>
    <x v="5"/>
    <m/>
    <x v="10"/>
    <m/>
    <x v="12"/>
    <m/>
  </r>
  <r>
    <n v="363"/>
    <n v="94"/>
    <n v="9"/>
    <s v="Jacket"/>
    <s v="Clothing"/>
    <n v="947"/>
    <n v="1"/>
    <x v="21"/>
    <n v="64"/>
    <x v="0"/>
    <x v="0"/>
    <n v="947"/>
    <x v="0"/>
    <x v="5"/>
    <m/>
    <x v="10"/>
    <m/>
    <x v="12"/>
    <m/>
  </r>
  <r>
    <n v="364"/>
    <n v="96"/>
    <n v="38"/>
    <s v="T-shirt"/>
    <s v="Clothing"/>
    <n v="992"/>
    <n v="4"/>
    <x v="227"/>
    <n v="22"/>
    <x v="1"/>
    <x v="1"/>
    <n v="3968"/>
    <x v="1"/>
    <x v="5"/>
    <m/>
    <x v="10"/>
    <m/>
    <x v="12"/>
    <m/>
  </r>
  <r>
    <n v="365"/>
    <n v="8"/>
    <n v="50"/>
    <s v="T-shirt"/>
    <s v="Accessories"/>
    <n v="752"/>
    <n v="1"/>
    <x v="204"/>
    <n v="37"/>
    <x v="0"/>
    <x v="5"/>
    <n v="752"/>
    <x v="3"/>
    <x v="5"/>
    <m/>
    <x v="10"/>
    <m/>
    <x v="12"/>
    <m/>
  </r>
  <r>
    <n v="366"/>
    <n v="64"/>
    <n v="6"/>
    <s v="Smartphone"/>
    <s v="Accessories"/>
    <n v="345"/>
    <n v="1"/>
    <x v="228"/>
    <n v="28"/>
    <x v="0"/>
    <x v="2"/>
    <n v="345"/>
    <x v="1"/>
    <x v="5"/>
    <m/>
    <x v="10"/>
    <m/>
    <x v="12"/>
    <m/>
  </r>
  <r>
    <n v="367"/>
    <n v="138"/>
    <n v="19"/>
    <s v="Tablet"/>
    <s v="Electronics"/>
    <n v="155"/>
    <n v="2"/>
    <x v="123"/>
    <n v="59"/>
    <x v="1"/>
    <x v="0"/>
    <n v="310"/>
    <x v="2"/>
    <x v="5"/>
    <m/>
    <x v="10"/>
    <m/>
    <x v="12"/>
    <m/>
  </r>
  <r>
    <n v="368"/>
    <n v="38"/>
    <n v="44"/>
    <s v="Sunglasses"/>
    <s v="Electronics"/>
    <n v="871"/>
    <n v="1"/>
    <x v="27"/>
    <n v="19"/>
    <x v="0"/>
    <x v="5"/>
    <n v="871"/>
    <x v="5"/>
    <x v="5"/>
    <m/>
    <x v="10"/>
    <m/>
    <x v="12"/>
    <m/>
  </r>
  <r>
    <n v="369"/>
    <n v="111"/>
    <n v="11"/>
    <s v="Laptop"/>
    <s v="Electronics"/>
    <n v="439"/>
    <n v="3"/>
    <x v="229"/>
    <n v="20"/>
    <x v="0"/>
    <x v="4"/>
    <n v="1317"/>
    <x v="1"/>
    <x v="5"/>
    <m/>
    <x v="10"/>
    <m/>
    <x v="12"/>
    <m/>
  </r>
  <r>
    <n v="370"/>
    <n v="112"/>
    <n v="2"/>
    <s v="Tablet"/>
    <s v="Accessories"/>
    <n v="821"/>
    <n v="3"/>
    <x v="230"/>
    <n v="40"/>
    <x v="1"/>
    <x v="4"/>
    <n v="2463"/>
    <x v="4"/>
    <x v="5"/>
    <m/>
    <x v="10"/>
    <m/>
    <x v="12"/>
    <m/>
  </r>
  <r>
    <n v="371"/>
    <n v="81"/>
    <n v="47"/>
    <s v="Camera"/>
    <s v="Clothing"/>
    <n v="871"/>
    <n v="4"/>
    <x v="67"/>
    <n v="29"/>
    <x v="0"/>
    <x v="4"/>
    <n v="3484"/>
    <x v="1"/>
    <x v="5"/>
    <m/>
    <x v="10"/>
    <m/>
    <x v="12"/>
    <m/>
  </r>
  <r>
    <n v="372"/>
    <n v="136"/>
    <n v="44"/>
    <s v="Camera"/>
    <s v="Electronics"/>
    <n v="798"/>
    <n v="1"/>
    <x v="104"/>
    <n v="37"/>
    <x v="1"/>
    <x v="4"/>
    <n v="798"/>
    <x v="3"/>
    <x v="5"/>
    <m/>
    <x v="10"/>
    <m/>
    <x v="12"/>
    <m/>
  </r>
  <r>
    <n v="373"/>
    <n v="104"/>
    <n v="44"/>
    <s v="T-shirt"/>
    <s v="Clothing"/>
    <n v="387"/>
    <n v="4"/>
    <x v="56"/>
    <n v="22"/>
    <x v="1"/>
    <x v="2"/>
    <n v="1548"/>
    <x v="1"/>
    <x v="5"/>
    <m/>
    <x v="10"/>
    <m/>
    <x v="12"/>
    <m/>
  </r>
  <r>
    <n v="374"/>
    <n v="153"/>
    <n v="9"/>
    <s v="Laptop"/>
    <s v="Electronics"/>
    <n v="251"/>
    <n v="3"/>
    <x v="18"/>
    <n v="54"/>
    <x v="0"/>
    <x v="0"/>
    <n v="753"/>
    <x v="2"/>
    <x v="5"/>
    <m/>
    <x v="10"/>
    <m/>
    <x v="12"/>
    <m/>
  </r>
  <r>
    <n v="375"/>
    <n v="73"/>
    <n v="21"/>
    <s v="Headphones"/>
    <s v="Electronics"/>
    <n v="251"/>
    <n v="1"/>
    <x v="208"/>
    <n v="55"/>
    <x v="0"/>
    <x v="3"/>
    <n v="251"/>
    <x v="2"/>
    <x v="5"/>
    <m/>
    <x v="10"/>
    <m/>
    <x v="12"/>
    <m/>
  </r>
  <r>
    <n v="376"/>
    <n v="194"/>
    <n v="24"/>
    <s v="Jacket"/>
    <s v="Accessories"/>
    <n v="389"/>
    <n v="1"/>
    <x v="231"/>
    <n v="47"/>
    <x v="0"/>
    <x v="1"/>
    <n v="389"/>
    <x v="4"/>
    <x v="5"/>
    <m/>
    <x v="10"/>
    <m/>
    <x v="12"/>
    <m/>
  </r>
  <r>
    <n v="377"/>
    <n v="178"/>
    <n v="34"/>
    <s v="Watch"/>
    <s v="Accessories"/>
    <n v="320"/>
    <n v="4"/>
    <x v="117"/>
    <n v="26"/>
    <x v="0"/>
    <x v="2"/>
    <n v="1280"/>
    <x v="1"/>
    <x v="5"/>
    <m/>
    <x v="10"/>
    <m/>
    <x v="12"/>
    <m/>
  </r>
  <r>
    <n v="378"/>
    <n v="195"/>
    <n v="22"/>
    <s v="Laptop"/>
    <s v="Electronics"/>
    <n v="387"/>
    <n v="3"/>
    <x v="205"/>
    <n v="51"/>
    <x v="0"/>
    <x v="2"/>
    <n v="1161"/>
    <x v="2"/>
    <x v="5"/>
    <m/>
    <x v="10"/>
    <m/>
    <x v="12"/>
    <m/>
  </r>
  <r>
    <n v="379"/>
    <n v="49"/>
    <n v="3"/>
    <s v="Watch"/>
    <s v="Accessories"/>
    <n v="345"/>
    <n v="1"/>
    <x v="10"/>
    <n v="61"/>
    <x v="0"/>
    <x v="3"/>
    <n v="345"/>
    <x v="0"/>
    <x v="5"/>
    <m/>
    <x v="10"/>
    <m/>
    <x v="12"/>
    <m/>
  </r>
  <r>
    <n v="380"/>
    <n v="36"/>
    <n v="12"/>
    <s v="Tablet"/>
    <s v="Electronics"/>
    <n v="841"/>
    <n v="4"/>
    <x v="125"/>
    <n v="52"/>
    <x v="0"/>
    <x v="3"/>
    <n v="3364"/>
    <x v="2"/>
    <x v="5"/>
    <m/>
    <x v="10"/>
    <m/>
    <x v="12"/>
    <m/>
  </r>
  <r>
    <n v="381"/>
    <n v="126"/>
    <n v="28"/>
    <s v="Tablet"/>
    <s v="Accessories"/>
    <n v="345"/>
    <n v="3"/>
    <x v="68"/>
    <n v="39"/>
    <x v="1"/>
    <x v="1"/>
    <n v="1035"/>
    <x v="3"/>
    <x v="5"/>
    <m/>
    <x v="10"/>
    <m/>
    <x v="12"/>
    <m/>
  </r>
  <r>
    <n v="382"/>
    <n v="68"/>
    <n v="30"/>
    <s v="Watch"/>
    <s v="Accessories"/>
    <n v="776"/>
    <n v="4"/>
    <x v="186"/>
    <n v="61"/>
    <x v="0"/>
    <x v="1"/>
    <n v="3104"/>
    <x v="0"/>
    <x v="5"/>
    <m/>
    <x v="10"/>
    <m/>
    <x v="12"/>
    <m/>
  </r>
  <r>
    <n v="383"/>
    <n v="78"/>
    <n v="26"/>
    <s v="Jacket"/>
    <s v="Electronics"/>
    <n v="981"/>
    <n v="2"/>
    <x v="232"/>
    <n v="41"/>
    <x v="1"/>
    <x v="3"/>
    <n v="1962"/>
    <x v="4"/>
    <x v="5"/>
    <m/>
    <x v="10"/>
    <m/>
    <x v="12"/>
    <m/>
  </r>
  <r>
    <n v="384"/>
    <n v="105"/>
    <n v="48"/>
    <s v="Laptop"/>
    <s v="Clothing"/>
    <n v="319"/>
    <n v="1"/>
    <x v="89"/>
    <n v="34"/>
    <x v="0"/>
    <x v="4"/>
    <n v="319"/>
    <x v="3"/>
    <x v="5"/>
    <m/>
    <x v="10"/>
    <m/>
    <x v="12"/>
    <m/>
  </r>
  <r>
    <n v="385"/>
    <n v="169"/>
    <n v="21"/>
    <s v="Headphones"/>
    <s v="Electronics"/>
    <n v="841"/>
    <n v="2"/>
    <x v="95"/>
    <n v="27"/>
    <x v="0"/>
    <x v="2"/>
    <n v="1682"/>
    <x v="1"/>
    <x v="5"/>
    <m/>
    <x v="10"/>
    <m/>
    <x v="12"/>
    <m/>
  </r>
  <r>
    <n v="386"/>
    <n v="122"/>
    <n v="28"/>
    <s v="T-shirt"/>
    <s v="Accessories"/>
    <n v="439"/>
    <n v="3"/>
    <x v="99"/>
    <n v="47"/>
    <x v="1"/>
    <x v="5"/>
    <n v="1317"/>
    <x v="4"/>
    <x v="5"/>
    <m/>
    <x v="10"/>
    <m/>
    <x v="12"/>
    <m/>
  </r>
  <r>
    <n v="387"/>
    <n v="119"/>
    <n v="26"/>
    <s v="Smartphone"/>
    <s v="Clothing"/>
    <n v="477"/>
    <n v="2"/>
    <x v="53"/>
    <n v="63"/>
    <x v="0"/>
    <x v="1"/>
    <n v="954"/>
    <x v="0"/>
    <x v="5"/>
    <m/>
    <x v="10"/>
    <m/>
    <x v="12"/>
    <m/>
  </r>
  <r>
    <n v="388"/>
    <n v="190"/>
    <n v="33"/>
    <s v="Tablet"/>
    <s v="Accessories"/>
    <n v="141"/>
    <n v="2"/>
    <x v="71"/>
    <n v="40"/>
    <x v="0"/>
    <x v="1"/>
    <n v="282"/>
    <x v="4"/>
    <x v="5"/>
    <m/>
    <x v="10"/>
    <m/>
    <x v="12"/>
    <m/>
  </r>
  <r>
    <n v="389"/>
    <n v="114"/>
    <n v="21"/>
    <s v="Camera"/>
    <s v="Electronics"/>
    <n v="798"/>
    <n v="3"/>
    <x v="179"/>
    <n v="49"/>
    <x v="1"/>
    <x v="3"/>
    <n v="2394"/>
    <x v="4"/>
    <x v="5"/>
    <m/>
    <x v="10"/>
    <m/>
    <x v="12"/>
    <m/>
  </r>
  <r>
    <n v="390"/>
    <n v="10"/>
    <n v="35"/>
    <s v="Jacket"/>
    <s v="Accessories"/>
    <n v="865"/>
    <n v="4"/>
    <x v="233"/>
    <n v="34"/>
    <x v="0"/>
    <x v="0"/>
    <n v="3460"/>
    <x v="3"/>
    <x v="5"/>
    <m/>
    <x v="10"/>
    <m/>
    <x v="12"/>
    <m/>
  </r>
  <r>
    <n v="391"/>
    <n v="149"/>
    <n v="34"/>
    <s v="Smartphone"/>
    <s v="Electronics"/>
    <n v="776"/>
    <n v="2"/>
    <x v="230"/>
    <n v="34"/>
    <x v="0"/>
    <x v="5"/>
    <n v="1552"/>
    <x v="3"/>
    <x v="5"/>
    <m/>
    <x v="10"/>
    <m/>
    <x v="12"/>
    <m/>
  </r>
  <r>
    <n v="392"/>
    <n v="164"/>
    <n v="41"/>
    <s v="Headphones"/>
    <s v="Electronics"/>
    <n v="615"/>
    <n v="4"/>
    <x v="234"/>
    <n v="31"/>
    <x v="0"/>
    <x v="5"/>
    <n v="2460"/>
    <x v="3"/>
    <x v="5"/>
    <m/>
    <x v="10"/>
    <m/>
    <x v="12"/>
    <m/>
  </r>
  <r>
    <n v="393"/>
    <n v="140"/>
    <n v="47"/>
    <s v="Shoes"/>
    <s v="Accessories"/>
    <n v="751"/>
    <n v="2"/>
    <x v="235"/>
    <n v="26"/>
    <x v="1"/>
    <x v="1"/>
    <n v="1502"/>
    <x v="1"/>
    <x v="5"/>
    <m/>
    <x v="10"/>
    <m/>
    <x v="12"/>
    <m/>
  </r>
  <r>
    <n v="394"/>
    <n v="91"/>
    <n v="18"/>
    <s v="T-shirt"/>
    <s v="Accessories"/>
    <n v="389"/>
    <n v="4"/>
    <x v="236"/>
    <n v="57"/>
    <x v="0"/>
    <x v="4"/>
    <n v="1556"/>
    <x v="2"/>
    <x v="5"/>
    <m/>
    <x v="10"/>
    <m/>
    <x v="12"/>
    <m/>
  </r>
  <r>
    <n v="395"/>
    <n v="2"/>
    <n v="11"/>
    <s v="Tablet"/>
    <s v="Clothing"/>
    <n v="345"/>
    <n v="3"/>
    <x v="235"/>
    <n v="19"/>
    <x v="0"/>
    <x v="0"/>
    <n v="1035"/>
    <x v="5"/>
    <x v="5"/>
    <m/>
    <x v="10"/>
    <m/>
    <x v="12"/>
    <m/>
  </r>
  <r>
    <n v="396"/>
    <n v="118"/>
    <n v="23"/>
    <s v="T-shirt"/>
    <s v="Accessories"/>
    <n v="155"/>
    <n v="2"/>
    <x v="237"/>
    <n v="62"/>
    <x v="0"/>
    <x v="5"/>
    <n v="310"/>
    <x v="0"/>
    <x v="5"/>
    <m/>
    <x v="10"/>
    <m/>
    <x v="12"/>
    <m/>
  </r>
  <r>
    <n v="397"/>
    <n v="13"/>
    <n v="48"/>
    <s v="Smartphone"/>
    <s v="Clothing"/>
    <n v="611"/>
    <n v="3"/>
    <x v="80"/>
    <n v="42"/>
    <x v="0"/>
    <x v="1"/>
    <n v="1833"/>
    <x v="4"/>
    <x v="5"/>
    <m/>
    <x v="10"/>
    <m/>
    <x v="12"/>
    <m/>
  </r>
  <r>
    <n v="398"/>
    <n v="181"/>
    <n v="22"/>
    <s v="T-shirt"/>
    <s v="Clothing"/>
    <n v="992"/>
    <n v="2"/>
    <x v="55"/>
    <n v="56"/>
    <x v="1"/>
    <x v="5"/>
    <n v="1984"/>
    <x v="2"/>
    <x v="5"/>
    <m/>
    <x v="10"/>
    <m/>
    <x v="12"/>
    <m/>
  </r>
  <r>
    <n v="399"/>
    <n v="160"/>
    <n v="17"/>
    <s v="Shoes"/>
    <s v="Clothing"/>
    <n v="155"/>
    <n v="3"/>
    <x v="238"/>
    <n v="26"/>
    <x v="1"/>
    <x v="0"/>
    <n v="465"/>
    <x v="1"/>
    <x v="5"/>
    <m/>
    <x v="10"/>
    <m/>
    <x v="12"/>
    <m/>
  </r>
  <r>
    <n v="400"/>
    <n v="95"/>
    <n v="5"/>
    <s v="Smartphone"/>
    <s v="Electronics"/>
    <n v="981"/>
    <n v="3"/>
    <x v="5"/>
    <n v="39"/>
    <x v="0"/>
    <x v="0"/>
    <n v="2943"/>
    <x v="3"/>
    <x v="5"/>
    <m/>
    <x v="10"/>
    <m/>
    <x v="12"/>
    <m/>
  </r>
  <r>
    <n v="401"/>
    <n v="144"/>
    <n v="44"/>
    <s v="Tablet"/>
    <s v="Accessories"/>
    <n v="614"/>
    <n v="2"/>
    <x v="204"/>
    <n v="60"/>
    <x v="0"/>
    <x v="2"/>
    <n v="1228"/>
    <x v="0"/>
    <x v="5"/>
    <m/>
    <x v="10"/>
    <m/>
    <x v="12"/>
    <m/>
  </r>
  <r>
    <n v="402"/>
    <n v="32"/>
    <n v="11"/>
    <s v="Laptop"/>
    <s v="Clothing"/>
    <n v="605"/>
    <n v="2"/>
    <x v="88"/>
    <n v="63"/>
    <x v="1"/>
    <x v="3"/>
    <n v="1210"/>
    <x v="0"/>
    <x v="5"/>
    <m/>
    <x v="10"/>
    <m/>
    <x v="12"/>
    <m/>
  </r>
  <r>
    <n v="403"/>
    <n v="32"/>
    <n v="30"/>
    <s v="Camera"/>
    <s v="Electronics"/>
    <n v="615"/>
    <n v="2"/>
    <x v="137"/>
    <n v="21"/>
    <x v="1"/>
    <x v="3"/>
    <n v="1230"/>
    <x v="1"/>
    <x v="5"/>
    <m/>
    <x v="10"/>
    <m/>
    <x v="12"/>
    <m/>
  </r>
  <r>
    <n v="404"/>
    <n v="124"/>
    <n v="15"/>
    <s v="Smartphone"/>
    <s v="Electronics"/>
    <n v="477"/>
    <n v="1"/>
    <x v="239"/>
    <n v="43"/>
    <x v="0"/>
    <x v="1"/>
    <n v="477"/>
    <x v="4"/>
    <x v="5"/>
    <m/>
    <x v="10"/>
    <m/>
    <x v="12"/>
    <m/>
  </r>
  <r>
    <n v="405"/>
    <n v="11"/>
    <n v="27"/>
    <s v="Sunglasses"/>
    <s v="Clothing"/>
    <n v="779"/>
    <n v="4"/>
    <x v="134"/>
    <n v="46"/>
    <x v="1"/>
    <x v="0"/>
    <n v="3116"/>
    <x v="4"/>
    <x v="5"/>
    <m/>
    <x v="10"/>
    <m/>
    <x v="12"/>
    <m/>
  </r>
  <r>
    <n v="406"/>
    <n v="10"/>
    <n v="35"/>
    <s v="Shoes"/>
    <s v="Electronics"/>
    <n v="928"/>
    <n v="1"/>
    <x v="159"/>
    <n v="62"/>
    <x v="0"/>
    <x v="2"/>
    <n v="928"/>
    <x v="0"/>
    <x v="5"/>
    <m/>
    <x v="10"/>
    <m/>
    <x v="12"/>
    <m/>
  </r>
  <r>
    <n v="407"/>
    <n v="15"/>
    <n v="33"/>
    <s v="Smartphone"/>
    <s v="Electronics"/>
    <n v="505"/>
    <n v="1"/>
    <x v="240"/>
    <n v="51"/>
    <x v="1"/>
    <x v="2"/>
    <n v="505"/>
    <x v="2"/>
    <x v="5"/>
    <m/>
    <x v="10"/>
    <m/>
    <x v="12"/>
    <m/>
  </r>
  <r>
    <n v="408"/>
    <n v="17"/>
    <n v="20"/>
    <s v="Smartphone"/>
    <s v="Accessories"/>
    <n v="155"/>
    <n v="3"/>
    <x v="241"/>
    <n v="40"/>
    <x v="1"/>
    <x v="5"/>
    <n v="465"/>
    <x v="4"/>
    <x v="5"/>
    <m/>
    <x v="10"/>
    <m/>
    <x v="12"/>
    <m/>
  </r>
  <r>
    <n v="409"/>
    <n v="168"/>
    <n v="16"/>
    <s v="Sunglasses"/>
    <s v="Accessories"/>
    <n v="84"/>
    <n v="2"/>
    <x v="6"/>
    <n v="54"/>
    <x v="1"/>
    <x v="5"/>
    <n v="168"/>
    <x v="2"/>
    <x v="5"/>
    <m/>
    <x v="10"/>
    <m/>
    <x v="12"/>
    <m/>
  </r>
  <r>
    <n v="410"/>
    <n v="146"/>
    <n v="34"/>
    <s v="Tablet"/>
    <s v="Accessories"/>
    <n v="251"/>
    <n v="4"/>
    <x v="123"/>
    <n v="28"/>
    <x v="1"/>
    <x v="2"/>
    <n v="1004"/>
    <x v="1"/>
    <x v="5"/>
    <m/>
    <x v="10"/>
    <m/>
    <x v="12"/>
    <m/>
  </r>
  <r>
    <n v="411"/>
    <n v="183"/>
    <n v="2"/>
    <s v="Smartphone"/>
    <s v="Electronics"/>
    <n v="387"/>
    <n v="3"/>
    <x v="110"/>
    <n v="23"/>
    <x v="0"/>
    <x v="5"/>
    <n v="1161"/>
    <x v="1"/>
    <x v="5"/>
    <m/>
    <x v="10"/>
    <m/>
    <x v="12"/>
    <m/>
  </r>
  <r>
    <n v="412"/>
    <n v="153"/>
    <n v="35"/>
    <s v="Camera"/>
    <s v="Accessories"/>
    <n v="928"/>
    <n v="1"/>
    <x v="70"/>
    <n v="35"/>
    <x v="1"/>
    <x v="0"/>
    <n v="928"/>
    <x v="3"/>
    <x v="5"/>
    <m/>
    <x v="10"/>
    <m/>
    <x v="12"/>
    <m/>
  </r>
  <r>
    <n v="413"/>
    <n v="59"/>
    <n v="40"/>
    <s v="T-shirt"/>
    <s v="Clothing"/>
    <n v="102"/>
    <n v="2"/>
    <x v="156"/>
    <n v="38"/>
    <x v="1"/>
    <x v="4"/>
    <n v="204"/>
    <x v="3"/>
    <x v="5"/>
    <m/>
    <x v="10"/>
    <m/>
    <x v="12"/>
    <m/>
  </r>
  <r>
    <n v="414"/>
    <n v="78"/>
    <n v="28"/>
    <s v="Tablet"/>
    <s v="Accessories"/>
    <n v="155"/>
    <n v="3"/>
    <x v="187"/>
    <n v="59"/>
    <x v="0"/>
    <x v="0"/>
    <n v="465"/>
    <x v="2"/>
    <x v="5"/>
    <m/>
    <x v="10"/>
    <m/>
    <x v="12"/>
    <m/>
  </r>
  <r>
    <n v="415"/>
    <n v="124"/>
    <n v="47"/>
    <s v="Camera"/>
    <s v="Accessories"/>
    <n v="798"/>
    <n v="2"/>
    <x v="208"/>
    <n v="53"/>
    <x v="1"/>
    <x v="2"/>
    <n v="1596"/>
    <x v="2"/>
    <x v="5"/>
    <m/>
    <x v="10"/>
    <m/>
    <x v="12"/>
    <m/>
  </r>
  <r>
    <n v="416"/>
    <n v="114"/>
    <n v="39"/>
    <s v="Tablet"/>
    <s v="Accessories"/>
    <n v="611"/>
    <n v="3"/>
    <x v="203"/>
    <n v="58"/>
    <x v="1"/>
    <x v="2"/>
    <n v="1833"/>
    <x v="2"/>
    <x v="5"/>
    <m/>
    <x v="10"/>
    <m/>
    <x v="12"/>
    <m/>
  </r>
  <r>
    <n v="417"/>
    <n v="22"/>
    <n v="6"/>
    <s v="Camera"/>
    <s v="Accessories"/>
    <n v="301"/>
    <n v="2"/>
    <x v="33"/>
    <n v="55"/>
    <x v="0"/>
    <x v="0"/>
    <n v="602"/>
    <x v="2"/>
    <x v="5"/>
    <m/>
    <x v="10"/>
    <m/>
    <x v="12"/>
    <m/>
  </r>
  <r>
    <n v="418"/>
    <n v="158"/>
    <n v="9"/>
    <s v="Shoes"/>
    <s v="Clothing"/>
    <n v="439"/>
    <n v="1"/>
    <x v="145"/>
    <n v="51"/>
    <x v="1"/>
    <x v="5"/>
    <n v="439"/>
    <x v="2"/>
    <x v="5"/>
    <m/>
    <x v="10"/>
    <m/>
    <x v="12"/>
    <m/>
  </r>
  <r>
    <n v="419"/>
    <n v="172"/>
    <n v="20"/>
    <s v="Camera"/>
    <s v="Clothing"/>
    <n v="395"/>
    <n v="4"/>
    <x v="242"/>
    <n v="34"/>
    <x v="0"/>
    <x v="5"/>
    <n v="1580"/>
    <x v="3"/>
    <x v="5"/>
    <m/>
    <x v="10"/>
    <m/>
    <x v="12"/>
    <m/>
  </r>
  <r>
    <n v="420"/>
    <n v="32"/>
    <n v="1"/>
    <s v="Watch"/>
    <s v="Electronics"/>
    <n v="505"/>
    <n v="1"/>
    <x v="194"/>
    <n v="54"/>
    <x v="0"/>
    <x v="3"/>
    <n v="505"/>
    <x v="2"/>
    <x v="5"/>
    <m/>
    <x v="10"/>
    <m/>
    <x v="12"/>
    <m/>
  </r>
  <r>
    <n v="421"/>
    <n v="179"/>
    <n v="8"/>
    <s v="Camera"/>
    <s v="Accessories"/>
    <n v="141"/>
    <n v="4"/>
    <x v="89"/>
    <n v="42"/>
    <x v="0"/>
    <x v="2"/>
    <n v="564"/>
    <x v="4"/>
    <x v="5"/>
    <m/>
    <x v="10"/>
    <m/>
    <x v="12"/>
    <m/>
  </r>
  <r>
    <n v="422"/>
    <n v="174"/>
    <n v="23"/>
    <s v="Laptop"/>
    <s v="Clothing"/>
    <n v="769"/>
    <n v="2"/>
    <x v="29"/>
    <n v="55"/>
    <x v="0"/>
    <x v="1"/>
    <n v="1538"/>
    <x v="2"/>
    <x v="5"/>
    <m/>
    <x v="10"/>
    <m/>
    <x v="12"/>
    <m/>
  </r>
  <r>
    <n v="423"/>
    <n v="113"/>
    <n v="3"/>
    <s v="Laptop"/>
    <s v="Clothing"/>
    <n v="921"/>
    <n v="3"/>
    <x v="243"/>
    <n v="29"/>
    <x v="1"/>
    <x v="3"/>
    <n v="2763"/>
    <x v="1"/>
    <x v="5"/>
    <m/>
    <x v="10"/>
    <m/>
    <x v="12"/>
    <m/>
  </r>
  <r>
    <n v="424"/>
    <n v="120"/>
    <n v="4"/>
    <s v="Jacket"/>
    <s v="Accessories"/>
    <n v="605"/>
    <n v="1"/>
    <x v="244"/>
    <n v="40"/>
    <x v="0"/>
    <x v="5"/>
    <n v="605"/>
    <x v="4"/>
    <x v="5"/>
    <m/>
    <x v="10"/>
    <m/>
    <x v="12"/>
    <m/>
  </r>
  <r>
    <n v="425"/>
    <n v="149"/>
    <n v="25"/>
    <s v="Watch"/>
    <s v="Clothing"/>
    <n v="615"/>
    <n v="4"/>
    <x v="7"/>
    <n v="59"/>
    <x v="1"/>
    <x v="0"/>
    <n v="2460"/>
    <x v="2"/>
    <x v="5"/>
    <m/>
    <x v="10"/>
    <m/>
    <x v="12"/>
    <m/>
  </r>
  <r>
    <n v="426"/>
    <n v="122"/>
    <n v="47"/>
    <s v="Watch"/>
    <s v="Clothing"/>
    <n v="319"/>
    <n v="1"/>
    <x v="245"/>
    <n v="39"/>
    <x v="1"/>
    <x v="5"/>
    <n v="319"/>
    <x v="3"/>
    <x v="5"/>
    <m/>
    <x v="10"/>
    <m/>
    <x v="12"/>
    <m/>
  </r>
  <r>
    <n v="427"/>
    <n v="32"/>
    <n v="38"/>
    <s v="T-shirt"/>
    <s v="Accessories"/>
    <n v="605"/>
    <n v="4"/>
    <x v="246"/>
    <n v="38"/>
    <x v="1"/>
    <x v="0"/>
    <n v="2420"/>
    <x v="3"/>
    <x v="5"/>
    <m/>
    <x v="10"/>
    <m/>
    <x v="12"/>
    <m/>
  </r>
  <r>
    <n v="428"/>
    <n v="119"/>
    <n v="15"/>
    <s v="Watch"/>
    <s v="Accessories"/>
    <n v="611"/>
    <n v="1"/>
    <x v="247"/>
    <n v="44"/>
    <x v="1"/>
    <x v="3"/>
    <n v="611"/>
    <x v="4"/>
    <x v="5"/>
    <m/>
    <x v="10"/>
    <m/>
    <x v="12"/>
    <m/>
  </r>
  <r>
    <n v="429"/>
    <n v="39"/>
    <n v="21"/>
    <s v="T-shirt"/>
    <s v="Accessories"/>
    <n v="774"/>
    <n v="4"/>
    <x v="248"/>
    <n v="48"/>
    <x v="1"/>
    <x v="2"/>
    <n v="3096"/>
    <x v="4"/>
    <x v="5"/>
    <m/>
    <x v="10"/>
    <m/>
    <x v="12"/>
    <m/>
  </r>
  <r>
    <n v="430"/>
    <n v="12"/>
    <n v="35"/>
    <s v="Jacket"/>
    <s v="Clothing"/>
    <n v="251"/>
    <n v="4"/>
    <x v="12"/>
    <n v="23"/>
    <x v="1"/>
    <x v="5"/>
    <n v="1004"/>
    <x v="1"/>
    <x v="5"/>
    <m/>
    <x v="10"/>
    <m/>
    <x v="12"/>
    <m/>
  </r>
  <r>
    <n v="431"/>
    <n v="175"/>
    <n v="46"/>
    <s v="Jacket"/>
    <s v="Clothing"/>
    <n v="345"/>
    <n v="2"/>
    <x v="238"/>
    <n v="44"/>
    <x v="1"/>
    <x v="0"/>
    <n v="690"/>
    <x v="4"/>
    <x v="5"/>
    <m/>
    <x v="10"/>
    <m/>
    <x v="12"/>
    <m/>
  </r>
  <r>
    <n v="432"/>
    <n v="18"/>
    <n v="14"/>
    <s v="Shoes"/>
    <s v="Clothing"/>
    <n v="255"/>
    <n v="4"/>
    <x v="77"/>
    <n v="57"/>
    <x v="1"/>
    <x v="2"/>
    <n v="1020"/>
    <x v="2"/>
    <x v="5"/>
    <m/>
    <x v="10"/>
    <m/>
    <x v="12"/>
    <m/>
  </r>
  <r>
    <n v="433"/>
    <n v="149"/>
    <n v="36"/>
    <s v="Laptop"/>
    <s v="Clothing"/>
    <n v="558"/>
    <n v="2"/>
    <x v="249"/>
    <n v="51"/>
    <x v="1"/>
    <x v="1"/>
    <n v="1116"/>
    <x v="2"/>
    <x v="5"/>
    <m/>
    <x v="10"/>
    <m/>
    <x v="12"/>
    <m/>
  </r>
  <r>
    <n v="434"/>
    <n v="141"/>
    <n v="12"/>
    <s v="Camera"/>
    <s v="Electronics"/>
    <n v="928"/>
    <n v="4"/>
    <x v="147"/>
    <n v="29"/>
    <x v="1"/>
    <x v="0"/>
    <n v="3712"/>
    <x v="1"/>
    <x v="5"/>
    <m/>
    <x v="10"/>
    <m/>
    <x v="12"/>
    <m/>
  </r>
  <r>
    <n v="435"/>
    <n v="149"/>
    <n v="17"/>
    <s v="Camera"/>
    <s v="Electronics"/>
    <n v="320"/>
    <n v="3"/>
    <x v="49"/>
    <n v="62"/>
    <x v="0"/>
    <x v="3"/>
    <n v="960"/>
    <x v="0"/>
    <x v="5"/>
    <m/>
    <x v="10"/>
    <m/>
    <x v="12"/>
    <m/>
  </r>
  <r>
    <n v="436"/>
    <n v="126"/>
    <n v="39"/>
    <s v="Sunglasses"/>
    <s v="Clothing"/>
    <n v="912"/>
    <n v="3"/>
    <x v="179"/>
    <n v="24"/>
    <x v="0"/>
    <x v="1"/>
    <n v="2736"/>
    <x v="1"/>
    <x v="5"/>
    <m/>
    <x v="10"/>
    <m/>
    <x v="12"/>
    <m/>
  </r>
  <r>
    <n v="437"/>
    <n v="136"/>
    <n v="9"/>
    <s v="Sunglasses"/>
    <s v="Electronics"/>
    <n v="477"/>
    <n v="3"/>
    <x v="250"/>
    <n v="27"/>
    <x v="0"/>
    <x v="1"/>
    <n v="1431"/>
    <x v="1"/>
    <x v="5"/>
    <m/>
    <x v="10"/>
    <m/>
    <x v="12"/>
    <m/>
  </r>
  <r>
    <n v="438"/>
    <n v="46"/>
    <n v="35"/>
    <s v="Headphones"/>
    <s v="Electronics"/>
    <n v="345"/>
    <n v="4"/>
    <x v="101"/>
    <n v="62"/>
    <x v="1"/>
    <x v="4"/>
    <n v="1380"/>
    <x v="0"/>
    <x v="5"/>
    <m/>
    <x v="10"/>
    <m/>
    <x v="12"/>
    <m/>
  </r>
  <r>
    <n v="439"/>
    <n v="104"/>
    <n v="13"/>
    <s v="Tablet"/>
    <s v="Accessories"/>
    <n v="451"/>
    <n v="2"/>
    <x v="73"/>
    <n v="34"/>
    <x v="0"/>
    <x v="5"/>
    <n v="902"/>
    <x v="3"/>
    <x v="5"/>
    <m/>
    <x v="10"/>
    <m/>
    <x v="12"/>
    <m/>
  </r>
  <r>
    <n v="440"/>
    <n v="135"/>
    <n v="15"/>
    <s v="Shoes"/>
    <s v="Accessories"/>
    <n v="825"/>
    <n v="2"/>
    <x v="46"/>
    <n v="43"/>
    <x v="0"/>
    <x v="0"/>
    <n v="1650"/>
    <x v="4"/>
    <x v="5"/>
    <m/>
    <x v="10"/>
    <m/>
    <x v="12"/>
    <m/>
  </r>
  <r>
    <n v="441"/>
    <n v="151"/>
    <n v="18"/>
    <s v="Headphones"/>
    <s v="Accessories"/>
    <n v="255"/>
    <n v="4"/>
    <x v="216"/>
    <n v="38"/>
    <x v="0"/>
    <x v="1"/>
    <n v="1020"/>
    <x v="3"/>
    <x v="5"/>
    <m/>
    <x v="10"/>
    <m/>
    <x v="12"/>
    <m/>
  </r>
  <r>
    <n v="442"/>
    <n v="86"/>
    <n v="33"/>
    <s v="Headphones"/>
    <s v="Accessories"/>
    <n v="776"/>
    <n v="3"/>
    <x v="165"/>
    <n v="45"/>
    <x v="1"/>
    <x v="4"/>
    <n v="2328"/>
    <x v="4"/>
    <x v="5"/>
    <m/>
    <x v="10"/>
    <m/>
    <x v="12"/>
    <m/>
  </r>
  <r>
    <n v="443"/>
    <n v="150"/>
    <n v="6"/>
    <s v="Smartphone"/>
    <s v="Electronics"/>
    <n v="928"/>
    <n v="3"/>
    <x v="2"/>
    <n v="63"/>
    <x v="1"/>
    <x v="3"/>
    <n v="2784"/>
    <x v="0"/>
    <x v="5"/>
    <m/>
    <x v="10"/>
    <m/>
    <x v="12"/>
    <m/>
  </r>
  <r>
    <n v="444"/>
    <n v="89"/>
    <n v="27"/>
    <s v="Smartphone"/>
    <s v="Accessories"/>
    <n v="437"/>
    <n v="2"/>
    <x v="245"/>
    <n v="19"/>
    <x v="1"/>
    <x v="2"/>
    <n v="874"/>
    <x v="5"/>
    <x v="5"/>
    <m/>
    <x v="10"/>
    <m/>
    <x v="12"/>
    <m/>
  </r>
  <r>
    <n v="445"/>
    <n v="22"/>
    <n v="23"/>
    <s v="Headphones"/>
    <s v="Electronics"/>
    <n v="130"/>
    <n v="3"/>
    <x v="244"/>
    <n v="60"/>
    <x v="1"/>
    <x v="0"/>
    <n v="390"/>
    <x v="0"/>
    <x v="5"/>
    <m/>
    <x v="10"/>
    <m/>
    <x v="12"/>
    <m/>
  </r>
  <r>
    <n v="446"/>
    <n v="92"/>
    <n v="27"/>
    <s v="Watch"/>
    <s v="Clothing"/>
    <n v="451"/>
    <n v="1"/>
    <x v="173"/>
    <n v="18"/>
    <x v="0"/>
    <x v="1"/>
    <n v="451"/>
    <x v="5"/>
    <x v="5"/>
    <m/>
    <x v="10"/>
    <m/>
    <x v="12"/>
    <m/>
  </r>
  <r>
    <n v="447"/>
    <n v="29"/>
    <n v="34"/>
    <s v="Tablet"/>
    <s v="Accessories"/>
    <n v="821"/>
    <n v="2"/>
    <x v="181"/>
    <n v="53"/>
    <x v="0"/>
    <x v="5"/>
    <n v="1642"/>
    <x v="2"/>
    <x v="5"/>
    <m/>
    <x v="10"/>
    <m/>
    <x v="12"/>
    <m/>
  </r>
  <r>
    <n v="448"/>
    <n v="13"/>
    <n v="46"/>
    <s v="Shoes"/>
    <s v="Electronics"/>
    <n v="504"/>
    <n v="3"/>
    <x v="203"/>
    <n v="43"/>
    <x v="0"/>
    <x v="4"/>
    <n v="1512"/>
    <x v="4"/>
    <x v="5"/>
    <m/>
    <x v="10"/>
    <m/>
    <x v="12"/>
    <m/>
  </r>
  <r>
    <n v="449"/>
    <n v="2"/>
    <n v="38"/>
    <s v="Headphones"/>
    <s v="Clothing"/>
    <n v="774"/>
    <n v="2"/>
    <x v="251"/>
    <n v="46"/>
    <x v="0"/>
    <x v="1"/>
    <n v="1548"/>
    <x v="4"/>
    <x v="5"/>
    <m/>
    <x v="10"/>
    <m/>
    <x v="12"/>
    <m/>
  </r>
  <r>
    <n v="450"/>
    <n v="29"/>
    <n v="14"/>
    <s v="Camera"/>
    <s v="Accessories"/>
    <n v="477"/>
    <n v="1"/>
    <x v="141"/>
    <n v="38"/>
    <x v="1"/>
    <x v="5"/>
    <n v="477"/>
    <x v="3"/>
    <x v="5"/>
    <m/>
    <x v="10"/>
    <m/>
    <x v="12"/>
    <m/>
  </r>
  <r>
    <n v="451"/>
    <n v="180"/>
    <n v="36"/>
    <s v="Tablet"/>
    <s v="Accessories"/>
    <n v="928"/>
    <n v="2"/>
    <x v="23"/>
    <n v="28"/>
    <x v="1"/>
    <x v="1"/>
    <n v="1856"/>
    <x v="1"/>
    <x v="5"/>
    <m/>
    <x v="10"/>
    <m/>
    <x v="12"/>
    <m/>
  </r>
  <r>
    <n v="452"/>
    <n v="27"/>
    <n v="8"/>
    <s v="Smartphone"/>
    <s v="Accessories"/>
    <n v="319"/>
    <n v="2"/>
    <x v="173"/>
    <n v="57"/>
    <x v="1"/>
    <x v="0"/>
    <n v="638"/>
    <x v="2"/>
    <x v="5"/>
    <m/>
    <x v="10"/>
    <m/>
    <x v="12"/>
    <m/>
  </r>
  <r>
    <n v="453"/>
    <n v="50"/>
    <n v="35"/>
    <s v="Camera"/>
    <s v="Accessories"/>
    <n v="319"/>
    <n v="2"/>
    <x v="108"/>
    <n v="28"/>
    <x v="0"/>
    <x v="0"/>
    <n v="638"/>
    <x v="1"/>
    <x v="5"/>
    <m/>
    <x v="10"/>
    <m/>
    <x v="12"/>
    <m/>
  </r>
  <r>
    <n v="454"/>
    <n v="95"/>
    <n v="19"/>
    <s v="Smartphone"/>
    <s v="Clothing"/>
    <n v="437"/>
    <n v="2"/>
    <x v="162"/>
    <n v="53"/>
    <x v="1"/>
    <x v="0"/>
    <n v="874"/>
    <x v="2"/>
    <x v="5"/>
    <m/>
    <x v="10"/>
    <m/>
    <x v="12"/>
    <m/>
  </r>
  <r>
    <n v="455"/>
    <n v="151"/>
    <n v="30"/>
    <s v="Smartphone"/>
    <s v="Clothing"/>
    <n v="614"/>
    <n v="1"/>
    <x v="131"/>
    <n v="56"/>
    <x v="1"/>
    <x v="3"/>
    <n v="614"/>
    <x v="2"/>
    <x v="5"/>
    <m/>
    <x v="10"/>
    <m/>
    <x v="12"/>
    <m/>
  </r>
  <r>
    <n v="456"/>
    <n v="88"/>
    <n v="14"/>
    <s v="Tablet"/>
    <s v="Electronics"/>
    <n v="558"/>
    <n v="4"/>
    <x v="252"/>
    <n v="57"/>
    <x v="0"/>
    <x v="3"/>
    <n v="2232"/>
    <x v="2"/>
    <x v="5"/>
    <m/>
    <x v="10"/>
    <m/>
    <x v="12"/>
    <m/>
  </r>
  <r>
    <n v="457"/>
    <n v="44"/>
    <n v="20"/>
    <s v="Smartphone"/>
    <s v="Electronics"/>
    <n v="301"/>
    <n v="2"/>
    <x v="232"/>
    <n v="52"/>
    <x v="0"/>
    <x v="4"/>
    <n v="602"/>
    <x v="2"/>
    <x v="5"/>
    <m/>
    <x v="10"/>
    <m/>
    <x v="12"/>
    <m/>
  </r>
  <r>
    <n v="458"/>
    <n v="22"/>
    <n v="49"/>
    <s v="Jacket"/>
    <s v="Electronics"/>
    <n v="928"/>
    <n v="2"/>
    <x v="31"/>
    <n v="51"/>
    <x v="1"/>
    <x v="0"/>
    <n v="1856"/>
    <x v="2"/>
    <x v="5"/>
    <m/>
    <x v="10"/>
    <m/>
    <x v="12"/>
    <m/>
  </r>
  <r>
    <n v="459"/>
    <n v="171"/>
    <n v="25"/>
    <s v="Laptop"/>
    <s v="Clothing"/>
    <n v="345"/>
    <n v="3"/>
    <x v="253"/>
    <n v="64"/>
    <x v="1"/>
    <x v="5"/>
    <n v="1035"/>
    <x v="0"/>
    <x v="5"/>
    <m/>
    <x v="10"/>
    <m/>
    <x v="12"/>
    <m/>
  </r>
  <r>
    <n v="460"/>
    <n v="165"/>
    <n v="40"/>
    <s v="Jacket"/>
    <s v="Clothing"/>
    <n v="826"/>
    <n v="2"/>
    <x v="7"/>
    <n v="41"/>
    <x v="1"/>
    <x v="1"/>
    <n v="1652"/>
    <x v="4"/>
    <x v="5"/>
    <m/>
    <x v="10"/>
    <m/>
    <x v="12"/>
    <m/>
  </r>
  <r>
    <n v="461"/>
    <n v="189"/>
    <n v="24"/>
    <s v="Laptop"/>
    <s v="Accessories"/>
    <n v="779"/>
    <n v="3"/>
    <x v="254"/>
    <n v="39"/>
    <x v="1"/>
    <x v="2"/>
    <n v="2337"/>
    <x v="3"/>
    <x v="5"/>
    <m/>
    <x v="10"/>
    <m/>
    <x v="12"/>
    <m/>
  </r>
  <r>
    <n v="462"/>
    <n v="97"/>
    <n v="14"/>
    <s v="Sunglasses"/>
    <s v="Accessories"/>
    <n v="971"/>
    <n v="4"/>
    <x v="220"/>
    <n v="22"/>
    <x v="1"/>
    <x v="5"/>
    <n v="3884"/>
    <x v="1"/>
    <x v="5"/>
    <m/>
    <x v="10"/>
    <m/>
    <x v="12"/>
    <m/>
  </r>
  <r>
    <n v="463"/>
    <n v="184"/>
    <n v="26"/>
    <s v="Sunglasses"/>
    <s v="Electronics"/>
    <n v="912"/>
    <n v="1"/>
    <x v="91"/>
    <n v="50"/>
    <x v="1"/>
    <x v="3"/>
    <n v="912"/>
    <x v="2"/>
    <x v="5"/>
    <m/>
    <x v="10"/>
    <m/>
    <x v="12"/>
    <m/>
  </r>
  <r>
    <n v="464"/>
    <n v="3"/>
    <n v="38"/>
    <s v="Smartphone"/>
    <s v="Electronics"/>
    <n v="84"/>
    <n v="1"/>
    <x v="255"/>
    <n v="53"/>
    <x v="0"/>
    <x v="3"/>
    <n v="84"/>
    <x v="2"/>
    <x v="5"/>
    <m/>
    <x v="10"/>
    <m/>
    <x v="12"/>
    <m/>
  </r>
  <r>
    <n v="465"/>
    <n v="191"/>
    <n v="23"/>
    <s v="Shoes"/>
    <s v="Electronics"/>
    <n v="826"/>
    <n v="4"/>
    <x v="17"/>
    <n v="64"/>
    <x v="0"/>
    <x v="5"/>
    <n v="3304"/>
    <x v="0"/>
    <x v="5"/>
    <m/>
    <x v="10"/>
    <m/>
    <x v="12"/>
    <m/>
  </r>
  <r>
    <n v="466"/>
    <n v="118"/>
    <n v="22"/>
    <s v="Shoes"/>
    <s v="Accessories"/>
    <n v="912"/>
    <n v="1"/>
    <x v="192"/>
    <n v="37"/>
    <x v="0"/>
    <x v="3"/>
    <n v="912"/>
    <x v="3"/>
    <x v="5"/>
    <m/>
    <x v="10"/>
    <m/>
    <x v="12"/>
    <m/>
  </r>
  <r>
    <n v="467"/>
    <n v="19"/>
    <n v="48"/>
    <s v="Laptop"/>
    <s v="Electronics"/>
    <n v="779"/>
    <n v="4"/>
    <x v="181"/>
    <n v="36"/>
    <x v="1"/>
    <x v="0"/>
    <n v="3116"/>
    <x v="3"/>
    <x v="5"/>
    <m/>
    <x v="10"/>
    <m/>
    <x v="12"/>
    <m/>
  </r>
  <r>
    <n v="468"/>
    <n v="23"/>
    <n v="19"/>
    <s v="Camera"/>
    <s v="Clothing"/>
    <n v="102"/>
    <n v="4"/>
    <x v="155"/>
    <n v="52"/>
    <x v="0"/>
    <x v="4"/>
    <n v="408"/>
    <x v="2"/>
    <x v="5"/>
    <m/>
    <x v="10"/>
    <m/>
    <x v="12"/>
    <m/>
  </r>
  <r>
    <n v="469"/>
    <n v="157"/>
    <n v="46"/>
    <s v="Tablet"/>
    <s v="Clothing"/>
    <n v="928"/>
    <n v="4"/>
    <x v="35"/>
    <n v="60"/>
    <x v="1"/>
    <x v="1"/>
    <n v="3712"/>
    <x v="0"/>
    <x v="5"/>
    <m/>
    <x v="10"/>
    <m/>
    <x v="12"/>
    <m/>
  </r>
  <r>
    <n v="470"/>
    <n v="30"/>
    <n v="3"/>
    <s v="Smartphone"/>
    <s v="Electronics"/>
    <n v="84"/>
    <n v="1"/>
    <x v="104"/>
    <n v="34"/>
    <x v="1"/>
    <x v="4"/>
    <n v="84"/>
    <x v="3"/>
    <x v="5"/>
    <m/>
    <x v="10"/>
    <m/>
    <x v="12"/>
    <m/>
  </r>
  <r>
    <n v="471"/>
    <n v="39"/>
    <n v="42"/>
    <s v="Tablet"/>
    <s v="Electronics"/>
    <n v="102"/>
    <n v="3"/>
    <x v="256"/>
    <n v="62"/>
    <x v="0"/>
    <x v="1"/>
    <n v="306"/>
    <x v="0"/>
    <x v="5"/>
    <m/>
    <x v="10"/>
    <m/>
    <x v="12"/>
    <m/>
  </r>
  <r>
    <n v="472"/>
    <n v="108"/>
    <n v="19"/>
    <s v="Jacket"/>
    <s v="Electronics"/>
    <n v="841"/>
    <n v="4"/>
    <x v="25"/>
    <n v="60"/>
    <x v="1"/>
    <x v="1"/>
    <n v="3364"/>
    <x v="0"/>
    <x v="5"/>
    <m/>
    <x v="10"/>
    <m/>
    <x v="12"/>
    <m/>
  </r>
  <r>
    <n v="473"/>
    <n v="111"/>
    <n v="9"/>
    <s v="Shoes"/>
    <s v="Electronics"/>
    <n v="779"/>
    <n v="2"/>
    <x v="10"/>
    <n v="51"/>
    <x v="1"/>
    <x v="4"/>
    <n v="1558"/>
    <x v="2"/>
    <x v="5"/>
    <m/>
    <x v="10"/>
    <m/>
    <x v="12"/>
    <m/>
  </r>
  <r>
    <n v="474"/>
    <n v="25"/>
    <n v="28"/>
    <s v="Watch"/>
    <s v="Electronics"/>
    <n v="776"/>
    <n v="1"/>
    <x v="257"/>
    <n v="26"/>
    <x v="0"/>
    <x v="5"/>
    <n v="776"/>
    <x v="1"/>
    <x v="5"/>
    <m/>
    <x v="10"/>
    <m/>
    <x v="12"/>
    <m/>
  </r>
  <r>
    <n v="475"/>
    <n v="128"/>
    <n v="20"/>
    <s v="Jacket"/>
    <s v="Clothing"/>
    <n v="821"/>
    <n v="4"/>
    <x v="116"/>
    <n v="43"/>
    <x v="0"/>
    <x v="1"/>
    <n v="3284"/>
    <x v="4"/>
    <x v="5"/>
    <m/>
    <x v="10"/>
    <m/>
    <x v="12"/>
    <m/>
  </r>
  <r>
    <n v="476"/>
    <n v="111"/>
    <n v="45"/>
    <s v="Jacket"/>
    <s v="Clothing"/>
    <n v="526"/>
    <n v="4"/>
    <x v="143"/>
    <n v="19"/>
    <x v="0"/>
    <x v="4"/>
    <n v="2104"/>
    <x v="5"/>
    <x v="5"/>
    <m/>
    <x v="10"/>
    <m/>
    <x v="12"/>
    <m/>
  </r>
  <r>
    <n v="477"/>
    <n v="136"/>
    <n v="7"/>
    <s v="Laptop"/>
    <s v="Electronics"/>
    <n v="611"/>
    <n v="2"/>
    <x v="100"/>
    <n v="26"/>
    <x v="1"/>
    <x v="1"/>
    <n v="1222"/>
    <x v="1"/>
    <x v="5"/>
    <m/>
    <x v="10"/>
    <m/>
    <x v="12"/>
    <m/>
  </r>
  <r>
    <n v="478"/>
    <n v="106"/>
    <n v="14"/>
    <s v="T-shirt"/>
    <s v="Clothing"/>
    <n v="416"/>
    <n v="3"/>
    <x v="185"/>
    <n v="26"/>
    <x v="0"/>
    <x v="2"/>
    <n v="1248"/>
    <x v="1"/>
    <x v="5"/>
    <m/>
    <x v="10"/>
    <m/>
    <x v="12"/>
    <m/>
  </r>
  <r>
    <n v="479"/>
    <n v="186"/>
    <n v="9"/>
    <s v="Jacket"/>
    <s v="Accessories"/>
    <n v="84"/>
    <n v="3"/>
    <x v="116"/>
    <n v="57"/>
    <x v="0"/>
    <x v="5"/>
    <n v="252"/>
    <x v="2"/>
    <x v="5"/>
    <m/>
    <x v="10"/>
    <m/>
    <x v="12"/>
    <m/>
  </r>
  <r>
    <n v="480"/>
    <n v="144"/>
    <n v="19"/>
    <s v="Smartphone"/>
    <s v="Accessories"/>
    <n v="389"/>
    <n v="3"/>
    <x v="258"/>
    <n v="34"/>
    <x v="1"/>
    <x v="0"/>
    <n v="1167"/>
    <x v="3"/>
    <x v="5"/>
    <m/>
    <x v="10"/>
    <m/>
    <x v="12"/>
    <m/>
  </r>
  <r>
    <n v="481"/>
    <n v="72"/>
    <n v="47"/>
    <s v="Headphones"/>
    <s v="Accessories"/>
    <n v="526"/>
    <n v="4"/>
    <x v="259"/>
    <n v="18"/>
    <x v="0"/>
    <x v="1"/>
    <n v="2104"/>
    <x v="5"/>
    <x v="5"/>
    <m/>
    <x v="10"/>
    <m/>
    <x v="12"/>
    <m/>
  </r>
  <r>
    <n v="482"/>
    <n v="129"/>
    <n v="14"/>
    <s v="Headphones"/>
    <s v="Clothing"/>
    <n v="841"/>
    <n v="4"/>
    <x v="110"/>
    <n v="42"/>
    <x v="0"/>
    <x v="2"/>
    <n v="3364"/>
    <x v="4"/>
    <x v="5"/>
    <m/>
    <x v="10"/>
    <m/>
    <x v="12"/>
    <m/>
  </r>
  <r>
    <n v="483"/>
    <n v="108"/>
    <n v="38"/>
    <s v="Smartphone"/>
    <s v="Accessories"/>
    <n v="614"/>
    <n v="4"/>
    <x v="119"/>
    <n v="60"/>
    <x v="0"/>
    <x v="0"/>
    <n v="2456"/>
    <x v="0"/>
    <x v="5"/>
    <m/>
    <x v="10"/>
    <m/>
    <x v="12"/>
    <m/>
  </r>
  <r>
    <n v="484"/>
    <n v="5"/>
    <n v="36"/>
    <s v="T-shirt"/>
    <s v="Clothing"/>
    <n v="416"/>
    <n v="1"/>
    <x v="127"/>
    <n v="57"/>
    <x v="1"/>
    <x v="0"/>
    <n v="416"/>
    <x v="2"/>
    <x v="5"/>
    <m/>
    <x v="10"/>
    <m/>
    <x v="12"/>
    <m/>
  </r>
  <r>
    <n v="485"/>
    <n v="3"/>
    <n v="40"/>
    <s v="T-shirt"/>
    <s v="Accessories"/>
    <n v="841"/>
    <n v="2"/>
    <x v="232"/>
    <n v="59"/>
    <x v="1"/>
    <x v="1"/>
    <n v="1682"/>
    <x v="2"/>
    <x v="5"/>
    <m/>
    <x v="10"/>
    <m/>
    <x v="12"/>
    <m/>
  </r>
  <r>
    <n v="486"/>
    <n v="193"/>
    <n v="17"/>
    <s v="Laptop"/>
    <s v="Accessories"/>
    <n v="776"/>
    <n v="4"/>
    <x v="183"/>
    <n v="42"/>
    <x v="1"/>
    <x v="4"/>
    <n v="3104"/>
    <x v="4"/>
    <x v="5"/>
    <m/>
    <x v="10"/>
    <m/>
    <x v="12"/>
    <m/>
  </r>
  <r>
    <n v="487"/>
    <n v="132"/>
    <n v="30"/>
    <s v="Shoes"/>
    <s v="Accessories"/>
    <n v="826"/>
    <n v="2"/>
    <x v="232"/>
    <n v="56"/>
    <x v="1"/>
    <x v="1"/>
    <n v="1652"/>
    <x v="2"/>
    <x v="5"/>
    <m/>
    <x v="10"/>
    <m/>
    <x v="12"/>
    <m/>
  </r>
  <r>
    <n v="488"/>
    <n v="104"/>
    <n v="9"/>
    <s v="Tablet"/>
    <s v="Electronics"/>
    <n v="841"/>
    <n v="2"/>
    <x v="208"/>
    <n v="52"/>
    <x v="0"/>
    <x v="2"/>
    <n v="1682"/>
    <x v="2"/>
    <x v="5"/>
    <m/>
    <x v="10"/>
    <m/>
    <x v="12"/>
    <m/>
  </r>
  <r>
    <n v="489"/>
    <n v="64"/>
    <n v="33"/>
    <s v="T-shirt"/>
    <s v="Clothing"/>
    <n v="611"/>
    <n v="3"/>
    <x v="232"/>
    <n v="20"/>
    <x v="1"/>
    <x v="0"/>
    <n v="1833"/>
    <x v="1"/>
    <x v="5"/>
    <m/>
    <x v="10"/>
    <m/>
    <x v="12"/>
    <m/>
  </r>
  <r>
    <n v="490"/>
    <n v="106"/>
    <n v="25"/>
    <s v="Watch"/>
    <s v="Accessories"/>
    <n v="774"/>
    <n v="1"/>
    <x v="79"/>
    <n v="54"/>
    <x v="1"/>
    <x v="1"/>
    <n v="774"/>
    <x v="2"/>
    <x v="5"/>
    <m/>
    <x v="10"/>
    <m/>
    <x v="12"/>
    <m/>
  </r>
  <r>
    <n v="491"/>
    <n v="98"/>
    <n v="14"/>
    <s v="Laptop"/>
    <s v="Electronics"/>
    <n v="871"/>
    <n v="4"/>
    <x v="212"/>
    <n v="61"/>
    <x v="0"/>
    <x v="4"/>
    <n v="3484"/>
    <x v="0"/>
    <x v="5"/>
    <m/>
    <x v="10"/>
    <m/>
    <x v="12"/>
    <m/>
  </r>
  <r>
    <n v="492"/>
    <n v="10"/>
    <n v="11"/>
    <s v="Sunglasses"/>
    <s v="Clothing"/>
    <n v="614"/>
    <n v="3"/>
    <x v="201"/>
    <n v="61"/>
    <x v="0"/>
    <x v="1"/>
    <n v="1842"/>
    <x v="0"/>
    <x v="5"/>
    <m/>
    <x v="10"/>
    <m/>
    <x v="12"/>
    <m/>
  </r>
  <r>
    <n v="493"/>
    <n v="149"/>
    <n v="35"/>
    <s v="Camera"/>
    <s v="Electronics"/>
    <n v="130"/>
    <n v="3"/>
    <x v="121"/>
    <n v="47"/>
    <x v="0"/>
    <x v="5"/>
    <n v="390"/>
    <x v="4"/>
    <x v="5"/>
    <m/>
    <x v="10"/>
    <m/>
    <x v="12"/>
    <m/>
  </r>
  <r>
    <n v="494"/>
    <n v="128"/>
    <n v="41"/>
    <s v="Sunglasses"/>
    <s v="Electronics"/>
    <n v="779"/>
    <n v="4"/>
    <x v="62"/>
    <n v="55"/>
    <x v="1"/>
    <x v="4"/>
    <n v="3116"/>
    <x v="2"/>
    <x v="5"/>
    <m/>
    <x v="10"/>
    <m/>
    <x v="12"/>
    <m/>
  </r>
  <r>
    <n v="495"/>
    <n v="46"/>
    <n v="14"/>
    <s v="Laptop"/>
    <s v="Accessories"/>
    <n v="774"/>
    <n v="2"/>
    <x v="199"/>
    <n v="51"/>
    <x v="1"/>
    <x v="2"/>
    <n v="1548"/>
    <x v="2"/>
    <x v="5"/>
    <m/>
    <x v="10"/>
    <m/>
    <x v="12"/>
    <m/>
  </r>
  <r>
    <n v="496"/>
    <n v="155"/>
    <n v="30"/>
    <s v="Jacket"/>
    <s v="Accessories"/>
    <n v="251"/>
    <n v="3"/>
    <x v="46"/>
    <n v="29"/>
    <x v="1"/>
    <x v="0"/>
    <n v="753"/>
    <x v="1"/>
    <x v="5"/>
    <m/>
    <x v="10"/>
    <m/>
    <x v="12"/>
    <m/>
  </r>
  <r>
    <n v="497"/>
    <n v="66"/>
    <n v="41"/>
    <s v="Tablet"/>
    <s v="Clothing"/>
    <n v="526"/>
    <n v="2"/>
    <x v="194"/>
    <n v="36"/>
    <x v="0"/>
    <x v="1"/>
    <n v="1052"/>
    <x v="3"/>
    <x v="5"/>
    <m/>
    <x v="10"/>
    <m/>
    <x v="12"/>
    <m/>
  </r>
  <r>
    <n v="498"/>
    <n v="169"/>
    <n v="4"/>
    <s v="Camera"/>
    <s v="Accessories"/>
    <n v="981"/>
    <n v="1"/>
    <x v="260"/>
    <n v="54"/>
    <x v="0"/>
    <x v="4"/>
    <n v="981"/>
    <x v="2"/>
    <x v="5"/>
    <m/>
    <x v="10"/>
    <m/>
    <x v="12"/>
    <m/>
  </r>
  <r>
    <n v="499"/>
    <n v="112"/>
    <n v="4"/>
    <s v="Sunglasses"/>
    <s v="Electronics"/>
    <n v="871"/>
    <n v="2"/>
    <x v="219"/>
    <n v="61"/>
    <x v="1"/>
    <x v="5"/>
    <n v="1742"/>
    <x v="0"/>
    <x v="5"/>
    <m/>
    <x v="10"/>
    <m/>
    <x v="12"/>
    <m/>
  </r>
  <r>
    <n v="500"/>
    <n v="13"/>
    <n v="28"/>
    <s v="Camera"/>
    <s v="Clothing"/>
    <n v="451"/>
    <n v="1"/>
    <x v="196"/>
    <n v="34"/>
    <x v="0"/>
    <x v="4"/>
    <n v="451"/>
    <x v="3"/>
    <x v="5"/>
    <m/>
    <x v="10"/>
    <m/>
    <x v="1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6BF546B-742F-44CB-B7FF-0D2AD827FE49}"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3:B15" firstHeaderRow="1" firstDataRow="1" firstDataCol="1"/>
  <pivotFields count="20">
    <pivotField showAll="0"/>
    <pivotField showAll="0"/>
    <pivotField showAll="0"/>
    <pivotField showAll="0"/>
    <pivotField showAll="0"/>
    <pivotField showAll="0"/>
    <pivotField showAll="0"/>
    <pivotField numFmtId="14" showAll="0">
      <items count="262">
        <item x="6"/>
        <item x="252"/>
        <item x="50"/>
        <item x="137"/>
        <item x="199"/>
        <item x="131"/>
        <item x="179"/>
        <item x="128"/>
        <item x="43"/>
        <item x="70"/>
        <item x="100"/>
        <item x="173"/>
        <item x="255"/>
        <item x="51"/>
        <item x="109"/>
        <item x="171"/>
        <item x="240"/>
        <item x="41"/>
        <item x="116"/>
        <item x="249"/>
        <item x="181"/>
        <item x="138"/>
        <item x="226"/>
        <item x="60"/>
        <item x="208"/>
        <item x="75"/>
        <item x="94"/>
        <item x="98"/>
        <item x="35"/>
        <item x="182"/>
        <item x="121"/>
        <item x="68"/>
        <item x="69"/>
        <item x="187"/>
        <item x="29"/>
        <item x="12"/>
        <item x="204"/>
        <item x="114"/>
        <item x="117"/>
        <item x="175"/>
        <item x="245"/>
        <item x="118"/>
        <item x="4"/>
        <item x="238"/>
        <item x="105"/>
        <item x="195"/>
        <item x="65"/>
        <item x="217"/>
        <item x="259"/>
        <item x="258"/>
        <item x="18"/>
        <item x="148"/>
        <item x="209"/>
        <item x="242"/>
        <item x="129"/>
        <item x="86"/>
        <item x="22"/>
        <item x="203"/>
        <item x="167"/>
        <item x="228"/>
        <item x="188"/>
        <item x="201"/>
        <item x="106"/>
        <item x="202"/>
        <item x="25"/>
        <item x="13"/>
        <item x="78"/>
        <item x="154"/>
        <item x="239"/>
        <item x="80"/>
        <item x="30"/>
        <item x="71"/>
        <item x="9"/>
        <item x="197"/>
        <item x="93"/>
        <item x="36"/>
        <item x="62"/>
        <item x="218"/>
        <item x="82"/>
        <item x="227"/>
        <item x="247"/>
        <item x="119"/>
        <item x="232"/>
        <item x="214"/>
        <item x="250"/>
        <item x="85"/>
        <item x="81"/>
        <item x="163"/>
        <item x="11"/>
        <item x="192"/>
        <item x="243"/>
        <item x="5"/>
        <item x="10"/>
        <item x="2"/>
        <item x="3"/>
        <item x="146"/>
        <item x="123"/>
        <item x="164"/>
        <item x="140"/>
        <item x="229"/>
        <item x="133"/>
        <item x="174"/>
        <item x="24"/>
        <item x="143"/>
        <item x="127"/>
        <item x="48"/>
        <item x="158"/>
        <item x="166"/>
        <item x="95"/>
        <item x="57"/>
        <item x="23"/>
        <item x="237"/>
        <item x="178"/>
        <item x="55"/>
        <item x="210"/>
        <item x="59"/>
        <item x="90"/>
        <item x="139"/>
        <item x="225"/>
        <item x="153"/>
        <item x="66"/>
        <item x="134"/>
        <item x="157"/>
        <item x="132"/>
        <item x="92"/>
        <item x="58"/>
        <item x="61"/>
        <item x="46"/>
        <item x="120"/>
        <item x="152"/>
        <item x="99"/>
        <item x="230"/>
        <item x="26"/>
        <item x="122"/>
        <item x="108"/>
        <item x="16"/>
        <item x="96"/>
        <item x="161"/>
        <item x="17"/>
        <item x="136"/>
        <item x="235"/>
        <item x="83"/>
        <item x="190"/>
        <item x="184"/>
        <item x="155"/>
        <item x="169"/>
        <item x="32"/>
        <item x="205"/>
        <item x="113"/>
        <item x="216"/>
        <item x="185"/>
        <item x="168"/>
        <item x="244"/>
        <item x="76"/>
        <item x="251"/>
        <item x="87"/>
        <item x="33"/>
        <item x="28"/>
        <item x="124"/>
        <item x="39"/>
        <item x="47"/>
        <item x="97"/>
        <item x="219"/>
        <item x="91"/>
        <item x="183"/>
        <item x="170"/>
        <item x="130"/>
        <item x="256"/>
        <item x="110"/>
        <item x="125"/>
        <item x="212"/>
        <item x="14"/>
        <item x="31"/>
        <item x="7"/>
        <item x="186"/>
        <item x="74"/>
        <item x="44"/>
        <item x="21"/>
        <item x="89"/>
        <item x="42"/>
        <item x="191"/>
        <item x="149"/>
        <item x="73"/>
        <item x="38"/>
        <item x="215"/>
        <item x="189"/>
        <item x="49"/>
        <item x="54"/>
        <item x="176"/>
        <item x="206"/>
        <item x="231"/>
        <item x="79"/>
        <item x="111"/>
        <item x="193"/>
        <item x="63"/>
        <item x="15"/>
        <item x="104"/>
        <item x="254"/>
        <item x="150"/>
        <item x="88"/>
        <item x="19"/>
        <item x="1"/>
        <item x="52"/>
        <item x="234"/>
        <item x="194"/>
        <item x="135"/>
        <item x="112"/>
        <item x="27"/>
        <item x="103"/>
        <item x="207"/>
        <item x="37"/>
        <item x="8"/>
        <item x="147"/>
        <item x="220"/>
        <item x="257"/>
        <item x="145"/>
        <item x="72"/>
        <item x="165"/>
        <item x="172"/>
        <item x="211"/>
        <item x="224"/>
        <item x="198"/>
        <item x="162"/>
        <item x="213"/>
        <item x="84"/>
        <item x="196"/>
        <item x="180"/>
        <item x="159"/>
        <item x="0"/>
        <item x="248"/>
        <item x="260"/>
        <item x="142"/>
        <item x="64"/>
        <item x="45"/>
        <item x="241"/>
        <item x="144"/>
        <item x="67"/>
        <item x="126"/>
        <item x="222"/>
        <item x="53"/>
        <item x="77"/>
        <item x="221"/>
        <item x="115"/>
        <item x="56"/>
        <item x="34"/>
        <item x="107"/>
        <item x="156"/>
        <item x="223"/>
        <item x="160"/>
        <item x="20"/>
        <item x="246"/>
        <item x="200"/>
        <item x="236"/>
        <item x="101"/>
        <item x="40"/>
        <item x="177"/>
        <item x="233"/>
        <item x="102"/>
        <item x="253"/>
        <item x="151"/>
        <item x="141"/>
        <item t="default"/>
      </items>
    </pivotField>
    <pivotField showAll="0"/>
    <pivotField showAll="0"/>
    <pivotField showAll="0">
      <items count="7">
        <item x="3"/>
        <item x="1"/>
        <item x="5"/>
        <item x="0"/>
        <item x="2"/>
        <item x="4"/>
        <item t="default"/>
      </items>
    </pivotField>
    <pivotField showAll="0"/>
    <pivotField showAll="0"/>
    <pivotField showAll="0"/>
    <pivotField showAll="0"/>
    <pivotField showAll="0"/>
    <pivotField showAll="0"/>
    <pivotField axis="axisRow" showAll="0">
      <items count="14">
        <item x="0"/>
        <item x="1"/>
        <item x="2"/>
        <item x="3"/>
        <item x="4"/>
        <item x="5"/>
        <item x="6"/>
        <item x="7"/>
        <item x="8"/>
        <item x="9"/>
        <item x="10"/>
        <item x="11"/>
        <item h="1" x="12"/>
        <item t="default"/>
      </items>
    </pivotField>
    <pivotField dataField="1" showAll="0"/>
    <pivotField showAll="0">
      <items count="7">
        <item x="0"/>
        <item x="1"/>
        <item x="2"/>
        <item x="3"/>
        <item x="4"/>
        <item x="5"/>
        <item t="default"/>
      </items>
    </pivotField>
  </pivotFields>
  <rowFields count="1">
    <field x="17"/>
  </rowFields>
  <rowItems count="12">
    <i>
      <x/>
    </i>
    <i>
      <x v="1"/>
    </i>
    <i>
      <x v="2"/>
    </i>
    <i>
      <x v="3"/>
    </i>
    <i>
      <x v="4"/>
    </i>
    <i>
      <x v="5"/>
    </i>
    <i>
      <x v="6"/>
    </i>
    <i>
      <x v="7"/>
    </i>
    <i>
      <x v="8"/>
    </i>
    <i>
      <x v="9"/>
    </i>
    <i>
      <x v="10"/>
    </i>
    <i>
      <x v="11"/>
    </i>
  </rowItems>
  <colItems count="1">
    <i/>
  </colItems>
  <dataFields count="1">
    <dataField name="Sum of monthly_revenue" fld="18" baseField="0" baseItem="0" numFmtId="167"/>
  </dataFields>
  <formats count="1">
    <format dxfId="2">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CAF729-B35E-4746-BAEF-E742A2E7A75D}"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C10" firstHeaderRow="1" firstDataRow="2" firstDataCol="1"/>
  <pivotFields count="20">
    <pivotField showAll="0"/>
    <pivotField showAll="0"/>
    <pivotField showAll="0"/>
    <pivotField showAll="0"/>
    <pivotField showAll="0"/>
    <pivotField showAll="0"/>
    <pivotField showAll="0"/>
    <pivotField numFmtId="14" showAll="0">
      <items count="262">
        <item x="6"/>
        <item x="252"/>
        <item x="50"/>
        <item x="137"/>
        <item x="199"/>
        <item x="131"/>
        <item x="179"/>
        <item x="128"/>
        <item x="43"/>
        <item x="70"/>
        <item x="100"/>
        <item x="173"/>
        <item x="255"/>
        <item x="51"/>
        <item x="109"/>
        <item x="171"/>
        <item x="240"/>
        <item x="41"/>
        <item x="116"/>
        <item x="249"/>
        <item x="181"/>
        <item x="138"/>
        <item x="226"/>
        <item x="60"/>
        <item x="208"/>
        <item x="75"/>
        <item x="94"/>
        <item x="98"/>
        <item x="35"/>
        <item x="182"/>
        <item x="121"/>
        <item x="68"/>
        <item x="69"/>
        <item x="187"/>
        <item x="29"/>
        <item x="12"/>
        <item x="204"/>
        <item x="114"/>
        <item x="117"/>
        <item x="175"/>
        <item x="245"/>
        <item x="118"/>
        <item x="4"/>
        <item x="238"/>
        <item x="105"/>
        <item x="195"/>
        <item x="65"/>
        <item x="217"/>
        <item x="259"/>
        <item x="258"/>
        <item x="18"/>
        <item x="148"/>
        <item x="209"/>
        <item x="242"/>
        <item x="129"/>
        <item x="86"/>
        <item x="22"/>
        <item x="203"/>
        <item x="167"/>
        <item x="228"/>
        <item x="188"/>
        <item x="201"/>
        <item x="106"/>
        <item x="202"/>
        <item x="25"/>
        <item x="13"/>
        <item x="78"/>
        <item x="154"/>
        <item x="239"/>
        <item x="80"/>
        <item x="30"/>
        <item x="71"/>
        <item x="9"/>
        <item x="197"/>
        <item x="93"/>
        <item x="36"/>
        <item x="62"/>
        <item x="218"/>
        <item x="82"/>
        <item x="227"/>
        <item x="247"/>
        <item x="119"/>
        <item x="232"/>
        <item x="214"/>
        <item x="250"/>
        <item x="85"/>
        <item x="81"/>
        <item x="163"/>
        <item x="11"/>
        <item x="192"/>
        <item x="243"/>
        <item x="5"/>
        <item x="10"/>
        <item x="2"/>
        <item x="3"/>
        <item x="146"/>
        <item x="123"/>
        <item x="164"/>
        <item x="140"/>
        <item x="229"/>
        <item x="133"/>
        <item x="174"/>
        <item x="24"/>
        <item x="143"/>
        <item x="127"/>
        <item x="48"/>
        <item x="158"/>
        <item x="166"/>
        <item x="95"/>
        <item x="57"/>
        <item x="23"/>
        <item x="237"/>
        <item x="178"/>
        <item x="55"/>
        <item x="210"/>
        <item x="59"/>
        <item x="90"/>
        <item x="139"/>
        <item x="225"/>
        <item x="153"/>
        <item x="66"/>
        <item x="134"/>
        <item x="157"/>
        <item x="132"/>
        <item x="92"/>
        <item x="58"/>
        <item x="61"/>
        <item x="46"/>
        <item x="120"/>
        <item x="152"/>
        <item x="99"/>
        <item x="230"/>
        <item x="26"/>
        <item x="122"/>
        <item x="108"/>
        <item x="16"/>
        <item x="96"/>
        <item x="161"/>
        <item x="17"/>
        <item x="136"/>
        <item x="235"/>
        <item x="83"/>
        <item x="190"/>
        <item x="184"/>
        <item x="155"/>
        <item x="169"/>
        <item x="32"/>
        <item x="205"/>
        <item x="113"/>
        <item x="216"/>
        <item x="185"/>
        <item x="168"/>
        <item x="244"/>
        <item x="76"/>
        <item x="251"/>
        <item x="87"/>
        <item x="33"/>
        <item x="28"/>
        <item x="124"/>
        <item x="39"/>
        <item x="47"/>
        <item x="97"/>
        <item x="219"/>
        <item x="91"/>
        <item x="183"/>
        <item x="170"/>
        <item x="130"/>
        <item x="256"/>
        <item x="110"/>
        <item x="125"/>
        <item x="212"/>
        <item x="14"/>
        <item x="31"/>
        <item x="7"/>
        <item x="186"/>
        <item x="74"/>
        <item x="44"/>
        <item x="21"/>
        <item x="89"/>
        <item x="42"/>
        <item x="191"/>
        <item x="149"/>
        <item x="73"/>
        <item x="38"/>
        <item x="215"/>
        <item x="189"/>
        <item x="49"/>
        <item x="54"/>
        <item x="176"/>
        <item x="206"/>
        <item x="231"/>
        <item x="79"/>
        <item x="111"/>
        <item x="193"/>
        <item x="63"/>
        <item x="15"/>
        <item x="104"/>
        <item x="254"/>
        <item x="150"/>
        <item x="88"/>
        <item x="19"/>
        <item x="1"/>
        <item x="52"/>
        <item x="234"/>
        <item x="194"/>
        <item x="135"/>
        <item x="112"/>
        <item x="27"/>
        <item x="103"/>
        <item x="207"/>
        <item x="37"/>
        <item x="8"/>
        <item x="147"/>
        <item x="220"/>
        <item x="257"/>
        <item x="145"/>
        <item x="72"/>
        <item x="165"/>
        <item x="172"/>
        <item x="211"/>
        <item x="224"/>
        <item x="198"/>
        <item x="162"/>
        <item x="213"/>
        <item x="84"/>
        <item x="196"/>
        <item x="180"/>
        <item x="159"/>
        <item x="0"/>
        <item x="248"/>
        <item x="260"/>
        <item x="142"/>
        <item x="64"/>
        <item x="45"/>
        <item x="241"/>
        <item x="144"/>
        <item x="67"/>
        <item x="126"/>
        <item x="222"/>
        <item x="53"/>
        <item x="77"/>
        <item x="221"/>
        <item x="115"/>
        <item x="56"/>
        <item x="34"/>
        <item x="107"/>
        <item x="156"/>
        <item x="223"/>
        <item x="160"/>
        <item x="20"/>
        <item x="246"/>
        <item x="200"/>
        <item x="236"/>
        <item x="101"/>
        <item x="40"/>
        <item x="177"/>
        <item x="233"/>
        <item x="102"/>
        <item x="253"/>
        <item x="151"/>
        <item x="141"/>
        <item t="default"/>
      </items>
    </pivotField>
    <pivotField showAll="0"/>
    <pivotField axis="axisCol" showAll="0">
      <items count="3">
        <item x="0"/>
        <item x="1"/>
        <item t="default"/>
      </items>
    </pivotField>
    <pivotField showAll="0">
      <items count="7">
        <item x="3"/>
        <item x="1"/>
        <item x="5"/>
        <item x="0"/>
        <item x="2"/>
        <item x="4"/>
        <item t="default"/>
      </items>
    </pivotField>
    <pivotField dataField="1" showAll="0"/>
    <pivotField axis="axisRow" showAll="0">
      <items count="7">
        <item x="0"/>
        <item x="2"/>
        <item x="4"/>
        <item x="3"/>
        <item x="1"/>
        <item x="5"/>
        <item t="default"/>
      </items>
    </pivotField>
    <pivotField showAll="0"/>
    <pivotField showAll="0"/>
    <pivotField showAll="0"/>
    <pivotField showAll="0"/>
    <pivotField showAll="0"/>
    <pivotField showAll="0"/>
    <pivotField showAll="0">
      <items count="7">
        <item x="0"/>
        <item x="1"/>
        <item x="2"/>
        <item x="3"/>
        <item x="4"/>
        <item x="5"/>
        <item t="default"/>
      </items>
    </pivotField>
  </pivotFields>
  <rowFields count="1">
    <field x="12"/>
  </rowFields>
  <rowItems count="6">
    <i>
      <x/>
    </i>
    <i>
      <x v="1"/>
    </i>
    <i>
      <x v="2"/>
    </i>
    <i>
      <x v="3"/>
    </i>
    <i>
      <x v="4"/>
    </i>
    <i>
      <x v="5"/>
    </i>
  </rowItems>
  <colFields count="1">
    <field x="9"/>
  </colFields>
  <colItems count="2">
    <i>
      <x/>
    </i>
    <i>
      <x v="1"/>
    </i>
  </colItems>
  <dataFields count="1">
    <dataField name="Sum of Revenue" fld="11" baseField="0" baseItem="0" numFmtId="165"/>
  </dataFields>
  <formats count="1">
    <format dxfId="1">
      <pivotArea outline="0" collapsedLevelsAreSubtotals="1" fieldPosition="0"/>
    </format>
  </formats>
  <chartFormats count="4">
    <chartFormat chart="0" format="0" series="1">
      <pivotArea type="data" outline="0" fieldPosition="0">
        <references count="2">
          <reference field="4294967294" count="1" selected="0">
            <x v="0"/>
          </reference>
          <reference field="9" count="1" selected="0">
            <x v="0"/>
          </reference>
        </references>
      </pivotArea>
    </chartFormat>
    <chartFormat chart="0" format="1" series="1">
      <pivotArea type="data" outline="0" fieldPosition="0">
        <references count="2">
          <reference field="4294967294" count="1" selected="0">
            <x v="0"/>
          </reference>
          <reference field="9" count="1" selected="0">
            <x v="1"/>
          </reference>
        </references>
      </pivotArea>
    </chartFormat>
    <chartFormat chart="4" format="4" series="1">
      <pivotArea type="data" outline="0" fieldPosition="0">
        <references count="2">
          <reference field="4294967294" count="1" selected="0">
            <x v="0"/>
          </reference>
          <reference field="9" count="1" selected="0">
            <x v="0"/>
          </reference>
        </references>
      </pivotArea>
    </chartFormat>
    <chartFormat chart="4" format="5" series="1">
      <pivotArea type="data" outline="0" fieldPosition="0">
        <references count="2">
          <reference field="4294967294" count="1" selected="0">
            <x v="0"/>
          </reference>
          <reference field="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6C38222-162A-4D7D-A7C6-076E87B6A42B}"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4" firstHeaderRow="1" firstDataRow="1" firstDataCol="1"/>
  <pivotFields count="20">
    <pivotField showAll="0"/>
    <pivotField showAll="0"/>
    <pivotField showAll="0"/>
    <pivotField showAll="0"/>
    <pivotField showAll="0"/>
    <pivotField showAll="0"/>
    <pivotField showAll="0"/>
    <pivotField numFmtId="14" showAll="0">
      <items count="262">
        <item x="6"/>
        <item x="252"/>
        <item x="50"/>
        <item x="137"/>
        <item x="199"/>
        <item x="131"/>
        <item x="179"/>
        <item x="128"/>
        <item x="43"/>
        <item x="70"/>
        <item x="100"/>
        <item x="173"/>
        <item x="255"/>
        <item x="51"/>
        <item x="109"/>
        <item x="171"/>
        <item x="240"/>
        <item x="41"/>
        <item x="116"/>
        <item x="249"/>
        <item x="181"/>
        <item x="138"/>
        <item x="226"/>
        <item x="60"/>
        <item x="208"/>
        <item x="75"/>
        <item x="94"/>
        <item x="98"/>
        <item x="35"/>
        <item x="182"/>
        <item x="121"/>
        <item x="68"/>
        <item x="69"/>
        <item x="187"/>
        <item x="29"/>
        <item x="12"/>
        <item x="204"/>
        <item x="114"/>
        <item x="117"/>
        <item x="175"/>
        <item x="245"/>
        <item x="118"/>
        <item x="4"/>
        <item x="238"/>
        <item x="105"/>
        <item x="195"/>
        <item x="65"/>
        <item x="217"/>
        <item x="259"/>
        <item x="258"/>
        <item x="18"/>
        <item x="148"/>
        <item x="209"/>
        <item x="242"/>
        <item x="129"/>
        <item x="86"/>
        <item x="22"/>
        <item x="203"/>
        <item x="167"/>
        <item x="228"/>
        <item x="188"/>
        <item x="201"/>
        <item x="106"/>
        <item x="202"/>
        <item x="25"/>
        <item x="13"/>
        <item x="78"/>
        <item x="154"/>
        <item x="239"/>
        <item x="80"/>
        <item x="30"/>
        <item x="71"/>
        <item x="9"/>
        <item x="197"/>
        <item x="93"/>
        <item x="36"/>
        <item x="62"/>
        <item x="218"/>
        <item x="82"/>
        <item x="227"/>
        <item x="247"/>
        <item x="119"/>
        <item x="232"/>
        <item x="214"/>
        <item x="250"/>
        <item x="85"/>
        <item x="81"/>
        <item x="163"/>
        <item x="11"/>
        <item x="192"/>
        <item x="243"/>
        <item x="5"/>
        <item x="10"/>
        <item x="2"/>
        <item x="3"/>
        <item x="146"/>
        <item x="123"/>
        <item x="164"/>
        <item x="140"/>
        <item x="229"/>
        <item x="133"/>
        <item x="174"/>
        <item x="24"/>
        <item x="143"/>
        <item x="127"/>
        <item x="48"/>
        <item x="158"/>
        <item x="166"/>
        <item x="95"/>
        <item x="57"/>
        <item x="23"/>
        <item x="237"/>
        <item x="178"/>
        <item x="55"/>
        <item x="210"/>
        <item x="59"/>
        <item x="90"/>
        <item x="139"/>
        <item x="225"/>
        <item x="153"/>
        <item x="66"/>
        <item x="134"/>
        <item x="157"/>
        <item x="132"/>
        <item x="92"/>
        <item x="58"/>
        <item x="61"/>
        <item x="46"/>
        <item x="120"/>
        <item x="152"/>
        <item x="99"/>
        <item x="230"/>
        <item x="26"/>
        <item x="122"/>
        <item x="108"/>
        <item x="16"/>
        <item x="96"/>
        <item x="161"/>
        <item x="17"/>
        <item x="136"/>
        <item x="235"/>
        <item x="83"/>
        <item x="190"/>
        <item x="184"/>
        <item x="155"/>
        <item x="169"/>
        <item x="32"/>
        <item x="205"/>
        <item x="113"/>
        <item x="216"/>
        <item x="185"/>
        <item x="168"/>
        <item x="244"/>
        <item x="76"/>
        <item x="251"/>
        <item x="87"/>
        <item x="33"/>
        <item x="28"/>
        <item x="124"/>
        <item x="39"/>
        <item x="47"/>
        <item x="97"/>
        <item x="219"/>
        <item x="91"/>
        <item x="183"/>
        <item x="170"/>
        <item x="130"/>
        <item x="256"/>
        <item x="110"/>
        <item x="125"/>
        <item x="212"/>
        <item x="14"/>
        <item x="31"/>
        <item x="7"/>
        <item x="186"/>
        <item x="74"/>
        <item x="44"/>
        <item x="21"/>
        <item x="89"/>
        <item x="42"/>
        <item x="191"/>
        <item x="149"/>
        <item x="73"/>
        <item x="38"/>
        <item x="215"/>
        <item x="189"/>
        <item x="49"/>
        <item x="54"/>
        <item x="176"/>
        <item x="206"/>
        <item x="231"/>
        <item x="79"/>
        <item x="111"/>
        <item x="193"/>
        <item x="63"/>
        <item x="15"/>
        <item x="104"/>
        <item x="254"/>
        <item x="150"/>
        <item x="88"/>
        <item x="19"/>
        <item x="1"/>
        <item x="52"/>
        <item x="234"/>
        <item x="194"/>
        <item x="135"/>
        <item x="112"/>
        <item x="27"/>
        <item x="103"/>
        <item x="207"/>
        <item x="37"/>
        <item x="8"/>
        <item x="147"/>
        <item x="220"/>
        <item x="257"/>
        <item x="145"/>
        <item x="72"/>
        <item x="165"/>
        <item x="172"/>
        <item x="211"/>
        <item x="224"/>
        <item x="198"/>
        <item x="162"/>
        <item x="213"/>
        <item x="84"/>
        <item x="196"/>
        <item x="180"/>
        <item x="159"/>
        <item x="0"/>
        <item x="248"/>
        <item x="260"/>
        <item x="142"/>
        <item x="64"/>
        <item x="45"/>
        <item x="241"/>
        <item x="144"/>
        <item x="67"/>
        <item x="126"/>
        <item x="222"/>
        <item x="53"/>
        <item x="77"/>
        <item x="221"/>
        <item x="115"/>
        <item x="56"/>
        <item x="34"/>
        <item x="107"/>
        <item x="156"/>
        <item x="223"/>
        <item x="160"/>
        <item x="20"/>
        <item x="246"/>
        <item x="200"/>
        <item x="236"/>
        <item x="101"/>
        <item x="40"/>
        <item x="177"/>
        <item x="233"/>
        <item x="102"/>
        <item x="253"/>
        <item x="151"/>
        <item x="141"/>
        <item t="default"/>
      </items>
    </pivotField>
    <pivotField showAll="0"/>
    <pivotField showAll="0"/>
    <pivotField showAll="0">
      <items count="7">
        <item x="3"/>
        <item x="1"/>
        <item x="5"/>
        <item x="0"/>
        <item x="2"/>
        <item x="4"/>
        <item t="default"/>
      </items>
    </pivotField>
    <pivotField showAll="0"/>
    <pivotField showAll="0"/>
    <pivotField showAll="0"/>
    <pivotField showAll="0"/>
    <pivotField axis="axisRow" showAll="0" sortType="ascending">
      <items count="12">
        <item x="0"/>
        <item x="3"/>
        <item x="4"/>
        <item x="9"/>
        <item x="5"/>
        <item x="2"/>
        <item x="1"/>
        <item x="7"/>
        <item x="8"/>
        <item x="6"/>
        <item h="1" x="10"/>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items count="7">
        <item x="0"/>
        <item x="1"/>
        <item x="2"/>
        <item x="3"/>
        <item x="4"/>
        <item x="5"/>
        <item t="default"/>
      </items>
    </pivotField>
  </pivotFields>
  <rowFields count="1">
    <field x="15"/>
  </rowFields>
  <rowItems count="11">
    <i>
      <x/>
    </i>
    <i>
      <x v="6"/>
    </i>
    <i>
      <x v="5"/>
    </i>
    <i>
      <x v="1"/>
    </i>
    <i>
      <x v="2"/>
    </i>
    <i>
      <x v="4"/>
    </i>
    <i>
      <x v="9"/>
    </i>
    <i>
      <x v="7"/>
    </i>
    <i>
      <x v="8"/>
    </i>
    <i>
      <x v="3"/>
    </i>
    <i t="grand">
      <x/>
    </i>
  </rowItems>
  <colItems count="1">
    <i/>
  </colItems>
  <dataFields count="1">
    <dataField name="Sum of total_sales" fld="16" baseField="0" baseItem="0"/>
  </dataFields>
  <formats count="1">
    <format dxfId="0">
      <pivotArea collapsedLevelsAreSubtotals="1" fieldPosition="0">
        <references count="1">
          <reference field="15" count="0"/>
        </references>
      </pivotArea>
    </format>
  </format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5" count="1" selected="0">
            <x v="3"/>
          </reference>
        </references>
      </pivotArea>
    </chartFormat>
    <chartFormat chart="0" format="2">
      <pivotArea type="data" outline="0" fieldPosition="0">
        <references count="2">
          <reference field="4294967294" count="1" selected="0">
            <x v="0"/>
          </reference>
          <reference field="15" count="1" selected="0">
            <x v="8"/>
          </reference>
        </references>
      </pivotArea>
    </chartFormat>
    <chartFormat chart="0" format="3">
      <pivotArea type="data" outline="0" fieldPosition="0">
        <references count="2">
          <reference field="4294967294" count="1" selected="0">
            <x v="0"/>
          </reference>
          <reference field="15" count="1" selected="0">
            <x v="7"/>
          </reference>
        </references>
      </pivotArea>
    </chartFormat>
    <chartFormat chart="0" format="4">
      <pivotArea type="data" outline="0" fieldPosition="0">
        <references count="2">
          <reference field="4294967294" count="1" selected="0">
            <x v="0"/>
          </reference>
          <reference field="15" count="1" selected="0">
            <x v="0"/>
          </reference>
        </references>
      </pivotArea>
    </chartFormat>
    <chartFormat chart="0" format="5">
      <pivotArea type="data" outline="0" fieldPosition="0">
        <references count="2">
          <reference field="4294967294" count="1" selected="0">
            <x v="0"/>
          </reference>
          <reference field="15" count="1" selected="0">
            <x v="6"/>
          </reference>
        </references>
      </pivotArea>
    </chartFormat>
    <chartFormat chart="0" format="6">
      <pivotArea type="data" outline="0" fieldPosition="0">
        <references count="2">
          <reference field="4294967294" count="1" selected="0">
            <x v="0"/>
          </reference>
          <reference field="15" count="1" selected="0">
            <x v="5"/>
          </reference>
        </references>
      </pivotArea>
    </chartFormat>
    <chartFormat chart="0" format="7">
      <pivotArea type="data" outline="0" fieldPosition="0">
        <references count="2">
          <reference field="4294967294" count="1" selected="0">
            <x v="0"/>
          </reference>
          <reference field="15" count="1" selected="0">
            <x v="9"/>
          </reference>
        </references>
      </pivotArea>
    </chartFormat>
    <chartFormat chart="0" format="8">
      <pivotArea type="data" outline="0" fieldPosition="0">
        <references count="2">
          <reference field="4294967294" count="1" selected="0">
            <x v="0"/>
          </reference>
          <reference field="15" count="1" selected="0">
            <x v="4"/>
          </reference>
        </references>
      </pivotArea>
    </chartFormat>
    <chartFormat chart="0" format="9">
      <pivotArea type="data" outline="0" fieldPosition="0">
        <references count="2">
          <reference field="4294967294" count="1" selected="0">
            <x v="0"/>
          </reference>
          <reference field="15" count="1" selected="0">
            <x v="2"/>
          </reference>
        </references>
      </pivotArea>
    </chartFormat>
    <chartFormat chart="0" format="10">
      <pivotArea type="data" outline="0" fieldPosition="0">
        <references count="2">
          <reference field="4294967294" count="1" selected="0">
            <x v="0"/>
          </reference>
          <reference field="15" count="1" selected="0">
            <x v="1"/>
          </reference>
        </references>
      </pivotArea>
    </chartFormat>
    <chartFormat chart="4" format="22" series="1">
      <pivotArea type="data" outline="0" fieldPosition="0">
        <references count="1">
          <reference field="4294967294" count="1" selected="0">
            <x v="0"/>
          </reference>
        </references>
      </pivotArea>
    </chartFormat>
    <chartFormat chart="4" format="23">
      <pivotArea type="data" outline="0" fieldPosition="0">
        <references count="2">
          <reference field="4294967294" count="1" selected="0">
            <x v="0"/>
          </reference>
          <reference field="15" count="1" selected="0">
            <x v="0"/>
          </reference>
        </references>
      </pivotArea>
    </chartFormat>
    <chartFormat chart="4" format="24">
      <pivotArea type="data" outline="0" fieldPosition="0">
        <references count="2">
          <reference field="4294967294" count="1" selected="0">
            <x v="0"/>
          </reference>
          <reference field="15" count="1" selected="0">
            <x v="6"/>
          </reference>
        </references>
      </pivotArea>
    </chartFormat>
    <chartFormat chart="4" format="25">
      <pivotArea type="data" outline="0" fieldPosition="0">
        <references count="2">
          <reference field="4294967294" count="1" selected="0">
            <x v="0"/>
          </reference>
          <reference field="15" count="1" selected="0">
            <x v="5"/>
          </reference>
        </references>
      </pivotArea>
    </chartFormat>
    <chartFormat chart="4" format="26">
      <pivotArea type="data" outline="0" fieldPosition="0">
        <references count="2">
          <reference field="4294967294" count="1" selected="0">
            <x v="0"/>
          </reference>
          <reference field="15" count="1" selected="0">
            <x v="1"/>
          </reference>
        </references>
      </pivotArea>
    </chartFormat>
    <chartFormat chart="4" format="27">
      <pivotArea type="data" outline="0" fieldPosition="0">
        <references count="2">
          <reference field="4294967294" count="1" selected="0">
            <x v="0"/>
          </reference>
          <reference field="15" count="1" selected="0">
            <x v="2"/>
          </reference>
        </references>
      </pivotArea>
    </chartFormat>
    <chartFormat chart="4" format="28">
      <pivotArea type="data" outline="0" fieldPosition="0">
        <references count="2">
          <reference field="4294967294" count="1" selected="0">
            <x v="0"/>
          </reference>
          <reference field="15" count="1" selected="0">
            <x v="4"/>
          </reference>
        </references>
      </pivotArea>
    </chartFormat>
    <chartFormat chart="4" format="29">
      <pivotArea type="data" outline="0" fieldPosition="0">
        <references count="2">
          <reference field="4294967294" count="1" selected="0">
            <x v="0"/>
          </reference>
          <reference field="15" count="1" selected="0">
            <x v="9"/>
          </reference>
        </references>
      </pivotArea>
    </chartFormat>
    <chartFormat chart="4" format="30">
      <pivotArea type="data" outline="0" fieldPosition="0">
        <references count="2">
          <reference field="4294967294" count="1" selected="0">
            <x v="0"/>
          </reference>
          <reference field="15" count="1" selected="0">
            <x v="7"/>
          </reference>
        </references>
      </pivotArea>
    </chartFormat>
    <chartFormat chart="4" format="31">
      <pivotArea type="data" outline="0" fieldPosition="0">
        <references count="2">
          <reference field="4294967294" count="1" selected="0">
            <x v="0"/>
          </reference>
          <reference field="15" count="1" selected="0">
            <x v="8"/>
          </reference>
        </references>
      </pivotArea>
    </chartFormat>
    <chartFormat chart="4" format="32">
      <pivotArea type="data" outline="0" fieldPosition="0">
        <references count="2">
          <reference field="4294967294" count="1" selected="0">
            <x v="0"/>
          </reference>
          <reference field="1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4378F5-7E48-405C-B5B3-07C3A589091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2">
    <pivotField showAll="0"/>
    <pivotField axis="axisRow" showAll="0" measureFilter="1" sortType="descending">
      <items count="184">
        <item x="13"/>
        <item x="55"/>
        <item x="129"/>
        <item x="46"/>
        <item x="93"/>
        <item x="16"/>
        <item x="50"/>
        <item x="104"/>
        <item x="7"/>
        <item x="70"/>
        <item x="42"/>
        <item x="101"/>
        <item x="170"/>
        <item x="82"/>
        <item x="132"/>
        <item x="177"/>
        <item x="28"/>
        <item x="103"/>
        <item x="147"/>
        <item x="173"/>
        <item x="73"/>
        <item x="25"/>
        <item x="105"/>
        <item x="143"/>
        <item x="48"/>
        <item x="153"/>
        <item x="152"/>
        <item x="58"/>
        <item x="62"/>
        <item x="31"/>
        <item x="108"/>
        <item x="144"/>
        <item x="15"/>
        <item x="33"/>
        <item x="2"/>
        <item x="83"/>
        <item x="175"/>
        <item x="131"/>
        <item x="20"/>
        <item x="118"/>
        <item x="53"/>
        <item x="27"/>
        <item x="63"/>
        <item x="151"/>
        <item x="43"/>
        <item x="52"/>
        <item x="163"/>
        <item x="134"/>
        <item x="107"/>
        <item x="64"/>
        <item x="124"/>
        <item x="54"/>
        <item x="172"/>
        <item x="44"/>
        <item x="136"/>
        <item x="135"/>
        <item x="14"/>
        <item x="78"/>
        <item x="87"/>
        <item x="19"/>
        <item x="29"/>
        <item x="158"/>
        <item x="40"/>
        <item x="181"/>
        <item x="37"/>
        <item x="90"/>
        <item x="10"/>
        <item x="9"/>
        <item x="113"/>
        <item x="100"/>
        <item x="166"/>
        <item x="97"/>
        <item x="125"/>
        <item x="79"/>
        <item x="17"/>
        <item x="56"/>
        <item x="156"/>
        <item x="157"/>
        <item x="120"/>
        <item x="102"/>
        <item x="74"/>
        <item x="117"/>
        <item x="164"/>
        <item x="109"/>
        <item x="115"/>
        <item x="34"/>
        <item x="57"/>
        <item x="127"/>
        <item x="95"/>
        <item x="30"/>
        <item x="130"/>
        <item x="76"/>
        <item x="88"/>
        <item x="65"/>
        <item x="77"/>
        <item x="32"/>
        <item x="110"/>
        <item x="165"/>
        <item x="145"/>
        <item x="148"/>
        <item x="86"/>
        <item x="75"/>
        <item x="59"/>
        <item x="112"/>
        <item x="21"/>
        <item x="169"/>
        <item x="140"/>
        <item x="68"/>
        <item x="168"/>
        <item x="39"/>
        <item x="133"/>
        <item x="22"/>
        <item x="121"/>
        <item x="114"/>
        <item x="150"/>
        <item x="45"/>
        <item x="36"/>
        <item x="182"/>
        <item x="138"/>
        <item x="99"/>
        <item x="162"/>
        <item x="38"/>
        <item x="126"/>
        <item x="8"/>
        <item x="142"/>
        <item x="72"/>
        <item x="111"/>
        <item x="84"/>
        <item x="3"/>
        <item x="69"/>
        <item x="71"/>
        <item x="18"/>
        <item x="161"/>
        <item x="49"/>
        <item x="0"/>
        <item x="85"/>
        <item x="160"/>
        <item x="12"/>
        <item x="92"/>
        <item x="137"/>
        <item x="128"/>
        <item x="146"/>
        <item x="67"/>
        <item x="123"/>
        <item x="6"/>
        <item x="81"/>
        <item x="119"/>
        <item x="4"/>
        <item x="35"/>
        <item x="178"/>
        <item x="96"/>
        <item x="23"/>
        <item x="171"/>
        <item x="24"/>
        <item x="94"/>
        <item x="47"/>
        <item x="98"/>
        <item x="174"/>
        <item x="176"/>
        <item x="1"/>
        <item x="155"/>
        <item x="122"/>
        <item x="159"/>
        <item x="91"/>
        <item x="141"/>
        <item x="139"/>
        <item x="180"/>
        <item x="11"/>
        <item x="60"/>
        <item x="154"/>
        <item x="26"/>
        <item x="179"/>
        <item x="66"/>
        <item x="116"/>
        <item x="149"/>
        <item x="89"/>
        <item x="106"/>
        <item x="167"/>
        <item x="41"/>
        <item x="61"/>
        <item x="80"/>
        <item x="5"/>
        <item x="5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numFmtId="14" showAll="0"/>
    <pivotField showAll="0"/>
    <pivotField showAll="0"/>
    <pivotField showAll="0"/>
    <pivotField dataField="1" showAll="0"/>
  </pivotFields>
  <rowFields count="1">
    <field x="1"/>
  </rowFields>
  <rowItems count="13">
    <i>
      <x v="133"/>
    </i>
    <i>
      <x v="115"/>
    </i>
    <i>
      <x v="163"/>
    </i>
    <i>
      <x v="129"/>
    </i>
    <i>
      <x v="29"/>
    </i>
    <i>
      <x v="126"/>
    </i>
    <i>
      <x v="7"/>
    </i>
    <i>
      <x v="85"/>
    </i>
    <i>
      <x v="53"/>
    </i>
    <i>
      <x/>
    </i>
    <i>
      <x v="148"/>
    </i>
    <i>
      <x v="94"/>
    </i>
    <i t="grand">
      <x/>
    </i>
  </rowItems>
  <colItems count="1">
    <i/>
  </colItems>
  <dataFields count="1">
    <dataField name="Sum of Revenue" fld="11" baseField="0" baseItem="0"/>
  </dataFields>
  <pivotTableStyleInfo name="PivotStyleLight16" showRowHeaders="1" showColHeaders="1" showRowStripes="0" showColStripes="0" showLastColumn="1"/>
  <filters count="1">
    <filter fld="1" type="percent" evalOrder="-1" id="1" iMeasureFld="0">
      <autoFilter ref="A1">
        <filterColumn colId="0">
          <top10 percent="1" val="20" filterVal="2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87FB09-A64A-4D0F-B88E-19CEEAA641BF}"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A7" firstHeaderRow="1" firstDataRow="1" firstDataCol="1"/>
  <pivotFields count="20">
    <pivotField showAll="0"/>
    <pivotField showAll="0"/>
    <pivotField showAll="0"/>
    <pivotField showAll="0"/>
    <pivotField showAll="0"/>
    <pivotField showAll="0"/>
    <pivotField showAll="0"/>
    <pivotField axis="axisRow" numFmtId="14" showAll="0">
      <items count="262">
        <item x="6"/>
        <item x="252"/>
        <item x="50"/>
        <item x="137"/>
        <item x="199"/>
        <item x="131"/>
        <item x="179"/>
        <item x="128"/>
        <item x="43"/>
        <item x="70"/>
        <item x="100"/>
        <item x="173"/>
        <item x="255"/>
        <item x="51"/>
        <item x="109"/>
        <item x="171"/>
        <item x="240"/>
        <item x="41"/>
        <item x="116"/>
        <item x="249"/>
        <item x="181"/>
        <item x="138"/>
        <item x="226"/>
        <item x="60"/>
        <item x="208"/>
        <item x="75"/>
        <item x="94"/>
        <item x="98"/>
        <item x="35"/>
        <item x="182"/>
        <item x="121"/>
        <item x="68"/>
        <item x="69"/>
        <item x="187"/>
        <item x="29"/>
        <item x="12"/>
        <item x="204"/>
        <item x="114"/>
        <item x="117"/>
        <item x="175"/>
        <item x="245"/>
        <item x="118"/>
        <item x="4"/>
        <item x="238"/>
        <item x="105"/>
        <item x="195"/>
        <item x="65"/>
        <item x="217"/>
        <item x="259"/>
        <item x="258"/>
        <item x="18"/>
        <item x="148"/>
        <item x="209"/>
        <item x="242"/>
        <item x="129"/>
        <item x="86"/>
        <item x="22"/>
        <item x="203"/>
        <item x="167"/>
        <item x="228"/>
        <item x="188"/>
        <item x="201"/>
        <item x="106"/>
        <item x="202"/>
        <item x="25"/>
        <item x="13"/>
        <item x="78"/>
        <item x="154"/>
        <item x="239"/>
        <item x="80"/>
        <item x="30"/>
        <item x="71"/>
        <item x="9"/>
        <item x="197"/>
        <item x="93"/>
        <item x="36"/>
        <item x="62"/>
        <item x="218"/>
        <item x="82"/>
        <item x="227"/>
        <item x="247"/>
        <item x="119"/>
        <item x="232"/>
        <item x="214"/>
        <item x="250"/>
        <item x="85"/>
        <item x="81"/>
        <item x="163"/>
        <item x="11"/>
        <item x="192"/>
        <item x="243"/>
        <item x="5"/>
        <item x="10"/>
        <item x="2"/>
        <item x="3"/>
        <item x="146"/>
        <item x="123"/>
        <item x="164"/>
        <item x="140"/>
        <item x="229"/>
        <item x="133"/>
        <item x="174"/>
        <item x="24"/>
        <item x="143"/>
        <item x="127"/>
        <item x="48"/>
        <item x="158"/>
        <item x="166"/>
        <item x="95"/>
        <item x="57"/>
        <item x="23"/>
        <item x="237"/>
        <item x="178"/>
        <item x="55"/>
        <item x="210"/>
        <item x="59"/>
        <item x="90"/>
        <item x="139"/>
        <item x="225"/>
        <item x="153"/>
        <item x="66"/>
        <item x="134"/>
        <item x="157"/>
        <item x="132"/>
        <item x="92"/>
        <item x="58"/>
        <item x="61"/>
        <item x="46"/>
        <item x="120"/>
        <item x="152"/>
        <item x="99"/>
        <item x="230"/>
        <item x="26"/>
        <item x="122"/>
        <item x="108"/>
        <item x="16"/>
        <item x="96"/>
        <item x="161"/>
        <item x="17"/>
        <item x="136"/>
        <item x="235"/>
        <item x="83"/>
        <item x="190"/>
        <item x="184"/>
        <item x="155"/>
        <item x="169"/>
        <item x="32"/>
        <item x="205"/>
        <item x="113"/>
        <item x="216"/>
        <item x="185"/>
        <item x="168"/>
        <item x="244"/>
        <item x="76"/>
        <item x="251"/>
        <item x="87"/>
        <item x="33"/>
        <item x="28"/>
        <item x="124"/>
        <item x="39"/>
        <item x="47"/>
        <item x="97"/>
        <item x="219"/>
        <item x="91"/>
        <item x="183"/>
        <item x="170"/>
        <item x="130"/>
        <item x="256"/>
        <item x="110"/>
        <item x="125"/>
        <item x="212"/>
        <item x="14"/>
        <item x="31"/>
        <item x="7"/>
        <item x="186"/>
        <item x="74"/>
        <item x="44"/>
        <item x="21"/>
        <item x="89"/>
        <item x="42"/>
        <item x="191"/>
        <item x="149"/>
        <item x="73"/>
        <item x="38"/>
        <item x="215"/>
        <item x="189"/>
        <item x="49"/>
        <item x="54"/>
        <item x="176"/>
        <item x="206"/>
        <item x="231"/>
        <item x="79"/>
        <item x="111"/>
        <item x="193"/>
        <item x="63"/>
        <item x="15"/>
        <item x="104"/>
        <item x="254"/>
        <item x="150"/>
        <item x="88"/>
        <item x="19"/>
        <item x="1"/>
        <item x="52"/>
        <item x="234"/>
        <item x="194"/>
        <item x="135"/>
        <item x="112"/>
        <item x="27"/>
        <item x="103"/>
        <item x="207"/>
        <item x="37"/>
        <item x="8"/>
        <item x="147"/>
        <item x="220"/>
        <item x="257"/>
        <item x="145"/>
        <item x="72"/>
        <item x="165"/>
        <item x="172"/>
        <item x="211"/>
        <item x="224"/>
        <item x="198"/>
        <item x="162"/>
        <item x="213"/>
        <item x="84"/>
        <item x="196"/>
        <item x="180"/>
        <item x="159"/>
        <item x="0"/>
        <item x="248"/>
        <item x="260"/>
        <item x="142"/>
        <item x="64"/>
        <item x="45"/>
        <item x="241"/>
        <item x="144"/>
        <item x="67"/>
        <item x="126"/>
        <item x="222"/>
        <item x="53"/>
        <item x="77"/>
        <item x="221"/>
        <item x="115"/>
        <item x="56"/>
        <item x="34"/>
        <item x="107"/>
        <item x="156"/>
        <item x="223"/>
        <item x="160"/>
        <item x="20"/>
        <item x="246"/>
        <item x="200"/>
        <item x="236"/>
        <item x="101"/>
        <item x="40"/>
        <item x="177"/>
        <item x="233"/>
        <item x="102"/>
        <item x="253"/>
        <item x="151"/>
        <item x="141"/>
        <item t="default"/>
      </items>
    </pivotField>
    <pivotField showAll="0"/>
    <pivotField showAll="0"/>
    <pivotField showAll="0">
      <items count="7">
        <item x="3"/>
        <item x="1"/>
        <item x="5"/>
        <item x="0"/>
        <item x="2"/>
        <item x="4"/>
        <item t="default"/>
      </items>
    </pivotField>
    <pivotField showAll="0"/>
    <pivotField showAll="0"/>
    <pivotField showAll="0"/>
    <pivotField showAll="0"/>
    <pivotField showAll="0"/>
    <pivotField showAll="0"/>
    <pivotField showAll="0"/>
    <pivotField showAll="0"/>
    <pivotField axis="axisRow" showAll="0" defaultSubtotal="0">
      <items count="6">
        <item sd="0" x="0"/>
        <item sd="0" x="1"/>
        <item sd="0" x="2"/>
        <item sd="0" x="3"/>
        <item sd="0" x="4"/>
        <item sd="0" x="5"/>
      </items>
    </pivotField>
  </pivotFields>
  <rowFields count="2">
    <field x="19"/>
    <field x="7"/>
  </rowFields>
  <rowItems count="4">
    <i>
      <x v="1"/>
    </i>
    <i>
      <x v="2"/>
    </i>
    <i>
      <x v="3"/>
    </i>
    <i>
      <x v="4"/>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235421-A938-4840-9B4C-EE8E1D9BF135}"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A3:B8" firstHeaderRow="1" firstDataRow="1" firstDataCol="1"/>
  <pivotFields count="20">
    <pivotField showAll="0"/>
    <pivotField showAll="0"/>
    <pivotField showAll="0"/>
    <pivotField showAll="0"/>
    <pivotField showAll="0"/>
    <pivotField showAll="0"/>
    <pivotField showAll="0"/>
    <pivotField numFmtId="14" showAll="0">
      <items count="262">
        <item x="6"/>
        <item x="252"/>
        <item x="50"/>
        <item x="137"/>
        <item x="199"/>
        <item x="131"/>
        <item x="179"/>
        <item x="128"/>
        <item x="43"/>
        <item x="70"/>
        <item x="100"/>
        <item x="173"/>
        <item x="255"/>
        <item x="51"/>
        <item x="109"/>
        <item x="171"/>
        <item x="240"/>
        <item x="41"/>
        <item x="116"/>
        <item x="249"/>
        <item x="181"/>
        <item x="138"/>
        <item x="226"/>
        <item x="60"/>
        <item x="208"/>
        <item x="75"/>
        <item x="94"/>
        <item x="98"/>
        <item x="35"/>
        <item x="182"/>
        <item x="121"/>
        <item x="68"/>
        <item x="69"/>
        <item x="187"/>
        <item x="29"/>
        <item x="12"/>
        <item x="204"/>
        <item x="114"/>
        <item x="117"/>
        <item x="175"/>
        <item x="245"/>
        <item x="118"/>
        <item x="4"/>
        <item x="238"/>
        <item x="105"/>
        <item x="195"/>
        <item x="65"/>
        <item x="217"/>
        <item x="259"/>
        <item x="258"/>
        <item x="18"/>
        <item x="148"/>
        <item x="209"/>
        <item x="242"/>
        <item x="129"/>
        <item x="86"/>
        <item x="22"/>
        <item x="203"/>
        <item x="167"/>
        <item x="228"/>
        <item x="188"/>
        <item x="201"/>
        <item x="106"/>
        <item x="202"/>
        <item x="25"/>
        <item x="13"/>
        <item x="78"/>
        <item x="154"/>
        <item x="239"/>
        <item x="80"/>
        <item x="30"/>
        <item x="71"/>
        <item x="9"/>
        <item x="197"/>
        <item x="93"/>
        <item x="36"/>
        <item x="62"/>
        <item x="218"/>
        <item x="82"/>
        <item x="227"/>
        <item x="247"/>
        <item x="119"/>
        <item x="232"/>
        <item x="214"/>
        <item x="250"/>
        <item x="85"/>
        <item x="81"/>
        <item x="163"/>
        <item x="11"/>
        <item x="192"/>
        <item x="243"/>
        <item x="5"/>
        <item x="10"/>
        <item x="2"/>
        <item x="3"/>
        <item x="146"/>
        <item x="123"/>
        <item x="164"/>
        <item x="140"/>
        <item x="229"/>
        <item x="133"/>
        <item x="174"/>
        <item x="24"/>
        <item x="143"/>
        <item x="127"/>
        <item x="48"/>
        <item x="158"/>
        <item x="166"/>
        <item x="95"/>
        <item x="57"/>
        <item x="23"/>
        <item x="237"/>
        <item x="178"/>
        <item x="55"/>
        <item x="210"/>
        <item x="59"/>
        <item x="90"/>
        <item x="139"/>
        <item x="225"/>
        <item x="153"/>
        <item x="66"/>
        <item x="134"/>
        <item x="157"/>
        <item x="132"/>
        <item x="92"/>
        <item x="58"/>
        <item x="61"/>
        <item x="46"/>
        <item x="120"/>
        <item x="152"/>
        <item x="99"/>
        <item x="230"/>
        <item x="26"/>
        <item x="122"/>
        <item x="108"/>
        <item x="16"/>
        <item x="96"/>
        <item x="161"/>
        <item x="17"/>
        <item x="136"/>
        <item x="235"/>
        <item x="83"/>
        <item x="190"/>
        <item x="184"/>
        <item x="155"/>
        <item x="169"/>
        <item x="32"/>
        <item x="205"/>
        <item x="113"/>
        <item x="216"/>
        <item x="185"/>
        <item x="168"/>
        <item x="244"/>
        <item x="76"/>
        <item x="251"/>
        <item x="87"/>
        <item x="33"/>
        <item x="28"/>
        <item x="124"/>
        <item x="39"/>
        <item x="47"/>
        <item x="97"/>
        <item x="219"/>
        <item x="91"/>
        <item x="183"/>
        <item x="170"/>
        <item x="130"/>
        <item x="256"/>
        <item x="110"/>
        <item x="125"/>
        <item x="212"/>
        <item x="14"/>
        <item x="31"/>
        <item x="7"/>
        <item x="186"/>
        <item x="74"/>
        <item x="44"/>
        <item x="21"/>
        <item x="89"/>
        <item x="42"/>
        <item x="191"/>
        <item x="149"/>
        <item x="73"/>
        <item x="38"/>
        <item x="215"/>
        <item x="189"/>
        <item x="49"/>
        <item x="54"/>
        <item x="176"/>
        <item x="206"/>
        <item x="231"/>
        <item x="79"/>
        <item x="111"/>
        <item x="193"/>
        <item x="63"/>
        <item x="15"/>
        <item x="104"/>
        <item x="254"/>
        <item x="150"/>
        <item x="88"/>
        <item x="19"/>
        <item x="1"/>
        <item x="52"/>
        <item x="234"/>
        <item x="194"/>
        <item x="135"/>
        <item x="112"/>
        <item x="27"/>
        <item x="103"/>
        <item x="207"/>
        <item x="37"/>
        <item x="8"/>
        <item x="147"/>
        <item x="220"/>
        <item x="257"/>
        <item x="145"/>
        <item x="72"/>
        <item x="165"/>
        <item x="172"/>
        <item x="211"/>
        <item x="224"/>
        <item x="198"/>
        <item x="162"/>
        <item x="213"/>
        <item x="84"/>
        <item x="196"/>
        <item x="180"/>
        <item x="159"/>
        <item x="0"/>
        <item x="248"/>
        <item x="260"/>
        <item x="142"/>
        <item x="64"/>
        <item x="45"/>
        <item x="241"/>
        <item x="144"/>
        <item x="67"/>
        <item x="126"/>
        <item x="222"/>
        <item x="53"/>
        <item x="77"/>
        <item x="221"/>
        <item x="115"/>
        <item x="56"/>
        <item x="34"/>
        <item x="107"/>
        <item x="156"/>
        <item x="223"/>
        <item x="160"/>
        <item x="20"/>
        <item x="246"/>
        <item x="200"/>
        <item x="236"/>
        <item x="101"/>
        <item x="40"/>
        <item x="177"/>
        <item x="233"/>
        <item x="102"/>
        <item x="253"/>
        <item x="151"/>
        <item x="141"/>
        <item t="default"/>
      </items>
    </pivotField>
    <pivotField showAll="0"/>
    <pivotField showAll="0"/>
    <pivotField showAll="0">
      <items count="7">
        <item x="3"/>
        <item x="1"/>
        <item x="5"/>
        <item x="0"/>
        <item x="2"/>
        <item x="4"/>
        <item t="default"/>
      </items>
    </pivotField>
    <pivotField showAll="0"/>
    <pivotField showAll="0"/>
    <pivotField axis="axisRow" showAll="0" sortType="descending">
      <items count="7">
        <item x="3"/>
        <item x="4"/>
        <item x="1"/>
        <item x="0"/>
        <item x="2"/>
        <item h="1" x="5"/>
        <item t="default"/>
      </items>
      <autoSortScope>
        <pivotArea dataOnly="0" outline="0" fieldPosition="0">
          <references count="1">
            <reference field="4294967294" count="1" selected="0">
              <x v="0"/>
            </reference>
          </references>
        </pivotArea>
      </autoSortScope>
    </pivotField>
    <pivotField dataField="1" showAll="0"/>
    <pivotField showAll="0"/>
    <pivotField showAll="0"/>
    <pivotField showAll="0"/>
    <pivotField showAll="0"/>
    <pivotField showAll="0">
      <items count="7">
        <item x="0"/>
        <item x="1"/>
        <item x="2"/>
        <item x="3"/>
        <item x="4"/>
        <item x="5"/>
        <item t="default"/>
      </items>
    </pivotField>
  </pivotFields>
  <rowFields count="1">
    <field x="13"/>
  </rowFields>
  <rowItems count="5">
    <i>
      <x v="1"/>
    </i>
    <i>
      <x v="4"/>
    </i>
    <i>
      <x/>
    </i>
    <i>
      <x v="3"/>
    </i>
    <i>
      <x v="2"/>
    </i>
  </rowItems>
  <colItems count="1">
    <i/>
  </colItems>
  <dataFields count="1">
    <dataField name="Sum of total_orders" fld="1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67BC1F62-A27C-4769-BC6E-EAECC93BBA50}" sourceName="country">
  <pivotTables>
    <pivotTable tabId="14" name="PivotTable2"/>
    <pivotTable tabId="13" name="PivotTable1"/>
    <pivotTable tabId="17" name="PivotTable7"/>
    <pivotTable tabId="15" name="PivotTable3"/>
    <pivotTable tabId="16" name="PivotTable4"/>
  </pivotTables>
  <data>
    <tabular pivotCacheId="1775874290">
      <items count="6">
        <i x="3" s="1"/>
        <i x="1" s="1"/>
        <i x="5" s="1"/>
        <i x="0"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order_date" xr10:uid="{7B461B4D-9C8D-4C95-82C4-25F640BEC074}" sourceName="Quarters (order_date)">
  <pivotTables>
    <pivotTable tabId="16" name="PivotTable4"/>
    <pivotTable tabId="13" name="PivotTable1"/>
    <pivotTable tabId="14" name="PivotTable2"/>
    <pivotTable tabId="17" name="PivotTable7"/>
    <pivotTable tabId="15" name="PivotTable3"/>
  </pivotTables>
  <data>
    <tabular pivotCacheId="1775874290">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35FDACD-08F2-4A8F-8B2F-BD4C334D7208}" cache="Slicer_country" caption="Countries" style="Slicer Style 1" rowHeight="241300"/>
  <slicer name="Quarters (order_date)" xr10:uid="{AA8A7300-2EDC-44F4-B875-77599D344FE3}" cache="Slicer_Quarters__order_date" caption="Order Date" style="Slicer Style 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F470AD-8F28-47F6-80DA-B0794FD55FAC}">
  <sheetPr>
    <pageSetUpPr fitToPage="1"/>
  </sheetPr>
  <dimension ref="A1:S49"/>
  <sheetViews>
    <sheetView tabSelected="1" zoomScale="60" zoomScaleNormal="60" zoomScaleSheetLayoutView="54" zoomScalePageLayoutView="40" workbookViewId="0">
      <selection activeCell="F51" sqref="F51"/>
    </sheetView>
  </sheetViews>
  <sheetFormatPr defaultRowHeight="14.5"/>
  <cols>
    <col min="1" max="1" width="1.54296875" customWidth="1"/>
    <col min="2" max="2" width="4" customWidth="1"/>
    <col min="3" max="3" width="20.1796875" customWidth="1"/>
    <col min="4" max="4" width="3.81640625" customWidth="1"/>
    <col min="5" max="5" width="2.26953125" customWidth="1"/>
    <col min="6" max="6" width="33.453125" customWidth="1"/>
    <col min="7" max="7" width="2.08984375" customWidth="1"/>
    <col min="8" max="8" width="31.6328125" customWidth="1"/>
    <col min="9" max="9" width="2.453125" customWidth="1"/>
    <col min="10" max="10" width="30.54296875" customWidth="1"/>
    <col min="11" max="11" width="2.1796875" customWidth="1"/>
    <col min="12" max="12" width="34.36328125" customWidth="1"/>
    <col min="13" max="13" width="2.453125" customWidth="1"/>
    <col min="14" max="14" width="26" customWidth="1"/>
    <col min="15" max="15" width="2.54296875" customWidth="1"/>
  </cols>
  <sheetData>
    <row r="1" spans="1:19" s="11" customFormat="1" ht="9" customHeight="1">
      <c r="A1" s="18"/>
      <c r="B1" s="18"/>
      <c r="C1" s="18"/>
      <c r="D1" s="18"/>
      <c r="E1" s="18"/>
      <c r="F1" s="18"/>
      <c r="G1" s="18"/>
      <c r="H1" s="18"/>
      <c r="I1" s="18"/>
      <c r="J1" s="18"/>
      <c r="K1" s="18"/>
      <c r="L1" s="18"/>
      <c r="M1" s="18"/>
      <c r="N1" s="18"/>
      <c r="O1"/>
      <c r="P1"/>
      <c r="Q1"/>
      <c r="R1"/>
      <c r="S1"/>
    </row>
    <row r="2" spans="1:19" ht="14.5" customHeight="1">
      <c r="A2" s="18"/>
      <c r="B2" s="28" t="s">
        <v>67</v>
      </c>
      <c r="C2" s="30"/>
      <c r="D2" s="29" t="s">
        <v>68</v>
      </c>
      <c r="E2" s="18"/>
      <c r="F2" s="13" t="s">
        <v>69</v>
      </c>
      <c r="G2" s="18"/>
      <c r="H2" s="12" t="s">
        <v>34</v>
      </c>
      <c r="I2" s="20"/>
      <c r="J2" s="12" t="s">
        <v>35</v>
      </c>
      <c r="K2" s="18"/>
      <c r="L2" s="12" t="s">
        <v>36</v>
      </c>
      <c r="M2" s="21"/>
      <c r="N2" s="12" t="s">
        <v>37</v>
      </c>
    </row>
    <row r="3" spans="1:19" ht="14.5" customHeight="1">
      <c r="A3" s="18"/>
      <c r="B3" s="28"/>
      <c r="C3" s="30"/>
      <c r="D3" s="29"/>
      <c r="E3" s="18"/>
      <c r="F3" s="31">
        <v>731790</v>
      </c>
      <c r="G3" s="18"/>
      <c r="H3" s="32">
        <v>500</v>
      </c>
      <c r="I3" s="33"/>
      <c r="J3" s="26">
        <v>183</v>
      </c>
      <c r="K3" s="18"/>
      <c r="L3" s="26">
        <v>1287</v>
      </c>
      <c r="M3" s="18"/>
      <c r="N3" s="27">
        <v>568.60139860139861</v>
      </c>
    </row>
    <row r="4" spans="1:19" ht="14.5" customHeight="1">
      <c r="A4" s="18"/>
      <c r="B4" s="28"/>
      <c r="C4" s="30"/>
      <c r="D4" s="29"/>
      <c r="E4" s="18"/>
      <c r="F4" s="31"/>
      <c r="G4" s="18"/>
      <c r="H4" s="32"/>
      <c r="I4" s="33"/>
      <c r="J4" s="26"/>
      <c r="K4" s="18"/>
      <c r="L4" s="26"/>
      <c r="M4" s="18"/>
      <c r="N4" s="27"/>
    </row>
    <row r="5" spans="1:19" ht="19.5" customHeight="1">
      <c r="A5" s="18"/>
      <c r="B5" s="28"/>
      <c r="C5" s="30"/>
      <c r="D5" s="29"/>
      <c r="E5" s="18"/>
      <c r="F5" s="31"/>
      <c r="G5" s="18"/>
      <c r="H5" s="32"/>
      <c r="I5" s="33"/>
      <c r="J5" s="26"/>
      <c r="K5" s="18"/>
      <c r="L5" s="26"/>
      <c r="M5" s="18"/>
      <c r="N5" s="27"/>
    </row>
    <row r="6" spans="1:19">
      <c r="A6" s="18"/>
      <c r="B6" s="18"/>
      <c r="C6" s="18"/>
      <c r="D6" s="19"/>
      <c r="E6" s="18"/>
      <c r="F6" s="18"/>
      <c r="G6" s="18"/>
      <c r="H6" s="18"/>
      <c r="I6" s="18"/>
      <c r="J6" s="18"/>
      <c r="K6" s="18"/>
      <c r="L6" s="18"/>
      <c r="M6" s="18"/>
      <c r="N6" s="18"/>
    </row>
    <row r="7" spans="1:19" ht="14.5" customHeight="1">
      <c r="A7" s="18"/>
      <c r="B7" s="24" t="s">
        <v>86</v>
      </c>
      <c r="C7" s="24"/>
      <c r="D7" s="24"/>
      <c r="E7" s="18"/>
      <c r="F7" s="18"/>
      <c r="G7" s="18"/>
      <c r="H7" s="18"/>
      <c r="I7" s="18"/>
      <c r="J7" s="18"/>
      <c r="K7" s="18"/>
      <c r="L7" s="18"/>
      <c r="M7" s="18"/>
      <c r="N7" s="18"/>
    </row>
    <row r="8" spans="1:19" ht="14.5" customHeight="1">
      <c r="A8" s="18"/>
      <c r="B8" s="24"/>
      <c r="C8" s="24"/>
      <c r="D8" s="24"/>
      <c r="E8" s="18"/>
      <c r="F8" s="18"/>
      <c r="G8" s="18"/>
      <c r="H8" s="18"/>
      <c r="I8" s="18"/>
      <c r="J8" s="18"/>
      <c r="K8" s="18"/>
      <c r="L8" s="18"/>
      <c r="M8" s="18"/>
      <c r="N8" s="18"/>
    </row>
    <row r="9" spans="1:19" ht="14.5" customHeight="1">
      <c r="A9" s="18"/>
      <c r="B9" s="24"/>
      <c r="C9" s="24"/>
      <c r="D9" s="24"/>
      <c r="E9" s="18"/>
      <c r="F9" s="18"/>
      <c r="G9" s="18"/>
      <c r="H9" s="18"/>
      <c r="I9" s="18"/>
      <c r="J9" s="18"/>
      <c r="K9" s="18"/>
      <c r="L9" s="18"/>
      <c r="M9" s="18"/>
      <c r="N9" s="18"/>
    </row>
    <row r="10" spans="1:19" ht="14.5" customHeight="1">
      <c r="A10" s="18"/>
      <c r="B10" s="25" t="s">
        <v>84</v>
      </c>
      <c r="C10" s="25"/>
      <c r="D10" s="25"/>
      <c r="E10" s="18"/>
      <c r="F10" s="18"/>
      <c r="G10" s="18"/>
      <c r="H10" s="18"/>
      <c r="I10" s="18"/>
      <c r="J10" s="18"/>
      <c r="K10" s="18"/>
      <c r="L10" s="18"/>
      <c r="M10" s="18"/>
      <c r="N10" s="18"/>
    </row>
    <row r="11" spans="1:19" ht="14.5" customHeight="1">
      <c r="A11" s="18"/>
      <c r="B11" s="25"/>
      <c r="C11" s="25"/>
      <c r="D11" s="25"/>
      <c r="E11" s="18"/>
      <c r="F11" s="18"/>
      <c r="G11" s="18"/>
      <c r="H11" s="18"/>
      <c r="I11" s="18"/>
      <c r="J11" s="18"/>
      <c r="K11" s="18"/>
      <c r="L11" s="18"/>
      <c r="M11" s="18"/>
      <c r="N11" s="18"/>
    </row>
    <row r="12" spans="1:19" ht="14.5" customHeight="1">
      <c r="A12" s="18"/>
      <c r="B12" s="25"/>
      <c r="C12" s="25"/>
      <c r="D12" s="25"/>
      <c r="E12" s="18"/>
      <c r="F12" s="18"/>
      <c r="G12" s="18"/>
      <c r="H12" s="18"/>
      <c r="I12" s="18"/>
      <c r="J12" s="18"/>
      <c r="K12" s="18"/>
      <c r="L12" s="18"/>
      <c r="M12" s="18"/>
      <c r="N12" s="18"/>
    </row>
    <row r="13" spans="1:19" ht="14.5" customHeight="1">
      <c r="A13" s="18"/>
      <c r="B13" s="25"/>
      <c r="C13" s="25"/>
      <c r="D13" s="25"/>
      <c r="E13" s="18"/>
      <c r="F13" s="18"/>
      <c r="G13" s="18"/>
      <c r="H13" s="18"/>
      <c r="I13" s="18"/>
      <c r="J13" s="18"/>
      <c r="K13" s="18"/>
      <c r="L13" s="18"/>
      <c r="M13" s="18"/>
      <c r="N13" s="18"/>
    </row>
    <row r="14" spans="1:19" ht="14.5" customHeight="1">
      <c r="A14" s="18"/>
      <c r="B14" s="25"/>
      <c r="C14" s="25"/>
      <c r="D14" s="25"/>
      <c r="E14" s="18"/>
      <c r="F14" s="18"/>
      <c r="G14" s="18"/>
      <c r="H14" s="18"/>
      <c r="I14" s="18"/>
      <c r="J14" s="18"/>
      <c r="K14" s="18"/>
      <c r="L14" s="18"/>
      <c r="M14" s="18"/>
      <c r="N14" s="18"/>
    </row>
    <row r="15" spans="1:19" ht="14.5" customHeight="1">
      <c r="A15" s="18"/>
      <c r="B15" s="25"/>
      <c r="C15" s="25"/>
      <c r="D15" s="25"/>
      <c r="E15" s="18"/>
      <c r="F15" s="18"/>
      <c r="G15" s="18"/>
      <c r="H15" s="18"/>
      <c r="I15" s="18"/>
      <c r="J15" s="18"/>
      <c r="K15" s="18"/>
      <c r="L15" s="18"/>
      <c r="M15" s="18"/>
      <c r="N15" s="18"/>
    </row>
    <row r="16" spans="1:19" ht="14.5" customHeight="1">
      <c r="A16" s="18"/>
      <c r="B16" s="25"/>
      <c r="C16" s="25"/>
      <c r="D16" s="25"/>
      <c r="E16" s="18"/>
      <c r="F16" s="18"/>
      <c r="G16" s="18"/>
      <c r="H16" s="18"/>
      <c r="I16" s="18"/>
      <c r="J16" s="18"/>
      <c r="K16" s="18"/>
      <c r="L16" s="18"/>
      <c r="M16" s="18"/>
      <c r="N16" s="18"/>
    </row>
    <row r="17" spans="1:14" ht="14.5" customHeight="1">
      <c r="A17" s="18"/>
      <c r="B17" s="25"/>
      <c r="C17" s="25"/>
      <c r="D17" s="25"/>
      <c r="E17" s="18"/>
      <c r="F17" s="18"/>
      <c r="G17" s="18"/>
      <c r="H17" s="18"/>
      <c r="I17" s="18"/>
      <c r="J17" s="18"/>
      <c r="K17" s="18"/>
      <c r="L17" s="18"/>
      <c r="M17" s="18"/>
      <c r="N17" s="18"/>
    </row>
    <row r="18" spans="1:14" ht="14.5" customHeight="1">
      <c r="A18" s="18"/>
      <c r="B18" s="25"/>
      <c r="C18" s="25"/>
      <c r="D18" s="25"/>
      <c r="E18" s="18"/>
      <c r="F18" s="18"/>
      <c r="G18" s="18"/>
      <c r="H18" s="18"/>
      <c r="I18" s="18"/>
      <c r="J18" s="18"/>
      <c r="K18" s="18"/>
      <c r="L18" s="18"/>
      <c r="M18" s="18"/>
      <c r="N18" s="18"/>
    </row>
    <row r="19" spans="1:14" ht="14.5" customHeight="1">
      <c r="A19" s="18"/>
      <c r="B19" s="25"/>
      <c r="C19" s="25"/>
      <c r="D19" s="25"/>
      <c r="E19" s="18"/>
      <c r="F19" s="18"/>
      <c r="G19" s="18"/>
      <c r="H19" s="18"/>
      <c r="I19" s="18"/>
      <c r="J19" s="18"/>
      <c r="K19" s="18"/>
      <c r="L19" s="18"/>
      <c r="M19" s="18"/>
      <c r="N19" s="18"/>
    </row>
    <row r="20" spans="1:14" ht="14.5" customHeight="1">
      <c r="A20" s="18"/>
      <c r="B20" s="25"/>
      <c r="C20" s="25"/>
      <c r="D20" s="25"/>
      <c r="E20" s="18"/>
      <c r="F20" s="18"/>
      <c r="G20" s="18"/>
      <c r="H20" s="18"/>
      <c r="I20" s="18"/>
      <c r="J20" s="18"/>
      <c r="K20" s="18"/>
      <c r="L20" s="18"/>
      <c r="M20" s="18"/>
      <c r="N20" s="18"/>
    </row>
    <row r="21" spans="1:14">
      <c r="A21" s="18"/>
      <c r="B21" s="18"/>
      <c r="C21" s="18"/>
      <c r="D21" s="18"/>
      <c r="E21" s="18"/>
      <c r="F21" s="18"/>
      <c r="G21" s="18"/>
      <c r="H21" s="18"/>
      <c r="I21" s="18"/>
      <c r="J21" s="18"/>
      <c r="K21" s="18"/>
      <c r="L21" s="18"/>
      <c r="M21" s="18"/>
      <c r="N21" s="18"/>
    </row>
    <row r="22" spans="1:14" ht="14.5" customHeight="1">
      <c r="A22" s="18"/>
      <c r="B22" s="24" t="s">
        <v>85</v>
      </c>
      <c r="C22" s="24"/>
      <c r="D22" s="24"/>
      <c r="E22" s="18"/>
      <c r="F22" s="18"/>
      <c r="G22" s="18"/>
      <c r="H22" s="18"/>
      <c r="I22" s="18"/>
      <c r="J22" s="18"/>
      <c r="K22" s="18"/>
      <c r="L22" s="18"/>
      <c r="M22" s="18"/>
      <c r="N22" s="18"/>
    </row>
    <row r="23" spans="1:14" ht="14.5" customHeight="1">
      <c r="A23" s="18"/>
      <c r="B23" s="24"/>
      <c r="C23" s="24"/>
      <c r="D23" s="24"/>
      <c r="E23" s="18"/>
      <c r="F23" s="18"/>
      <c r="G23" s="18"/>
      <c r="H23" s="18"/>
      <c r="I23" s="18"/>
      <c r="J23" s="18"/>
      <c r="K23" s="18"/>
      <c r="L23" s="18"/>
      <c r="M23" s="18"/>
      <c r="N23" s="18"/>
    </row>
    <row r="24" spans="1:14" ht="14.5" customHeight="1">
      <c r="A24" s="18"/>
      <c r="B24" s="24"/>
      <c r="C24" s="24"/>
      <c r="D24" s="24"/>
      <c r="E24" s="18"/>
      <c r="F24" s="18"/>
      <c r="G24" s="18"/>
      <c r="H24" s="18"/>
      <c r="I24" s="18"/>
      <c r="J24" s="18"/>
      <c r="K24" s="18"/>
      <c r="L24" s="18"/>
      <c r="M24" s="18"/>
      <c r="N24" s="18"/>
    </row>
    <row r="25" spans="1:14" ht="14.5" customHeight="1">
      <c r="A25" s="18"/>
      <c r="B25" s="25" t="s">
        <v>87</v>
      </c>
      <c r="C25" s="25"/>
      <c r="D25" s="25"/>
      <c r="E25" s="18"/>
      <c r="F25" s="18"/>
      <c r="G25" s="18"/>
      <c r="H25" s="18"/>
      <c r="I25" s="18"/>
      <c r="J25" s="18"/>
      <c r="K25" s="18"/>
      <c r="L25" s="18"/>
      <c r="M25" s="18"/>
      <c r="N25" s="18"/>
    </row>
    <row r="26" spans="1:14" ht="14.5" customHeight="1">
      <c r="A26" s="18"/>
      <c r="B26" s="25"/>
      <c r="C26" s="25"/>
      <c r="D26" s="25"/>
      <c r="E26" s="18"/>
      <c r="F26" s="18"/>
      <c r="G26" s="18"/>
      <c r="H26" s="18"/>
      <c r="I26" s="18"/>
      <c r="J26" s="18"/>
      <c r="K26" s="18"/>
      <c r="L26" s="18"/>
      <c r="M26" s="18"/>
      <c r="N26" s="18"/>
    </row>
    <row r="27" spans="1:14" ht="14.5" customHeight="1">
      <c r="A27" s="18"/>
      <c r="B27" s="25"/>
      <c r="C27" s="25"/>
      <c r="D27" s="25"/>
      <c r="E27" s="18"/>
      <c r="F27" s="18"/>
      <c r="G27" s="18"/>
      <c r="H27" s="18"/>
      <c r="I27" s="18"/>
      <c r="J27" s="18"/>
      <c r="K27" s="18"/>
      <c r="L27" s="18"/>
      <c r="M27" s="18"/>
      <c r="N27" s="18"/>
    </row>
    <row r="28" spans="1:14" ht="14.5" customHeight="1">
      <c r="A28" s="18"/>
      <c r="B28" s="25"/>
      <c r="C28" s="25"/>
      <c r="D28" s="25"/>
      <c r="E28" s="18"/>
      <c r="F28" s="18"/>
      <c r="G28" s="18"/>
      <c r="H28" s="18"/>
      <c r="I28" s="18"/>
      <c r="J28" s="18"/>
      <c r="K28" s="18"/>
      <c r="L28" s="18"/>
      <c r="M28" s="18"/>
      <c r="N28" s="18"/>
    </row>
    <row r="29" spans="1:14" ht="14.5" customHeight="1">
      <c r="A29" s="18"/>
      <c r="B29" s="25"/>
      <c r="C29" s="25"/>
      <c r="D29" s="25"/>
      <c r="E29" s="18"/>
      <c r="F29" s="18"/>
      <c r="G29" s="18"/>
      <c r="H29" s="18"/>
      <c r="I29" s="18"/>
      <c r="J29" s="18"/>
      <c r="K29" s="18"/>
      <c r="L29" s="18"/>
      <c r="M29" s="18"/>
      <c r="N29" s="18"/>
    </row>
    <row r="30" spans="1:14" ht="14.5" customHeight="1">
      <c r="A30" s="18"/>
      <c r="B30" s="25"/>
      <c r="C30" s="25"/>
      <c r="D30" s="25"/>
      <c r="E30" s="18"/>
      <c r="F30" s="18"/>
      <c r="G30" s="18"/>
      <c r="H30" s="18"/>
      <c r="I30" s="18"/>
      <c r="J30" s="18"/>
      <c r="K30" s="18"/>
      <c r="L30" s="18"/>
      <c r="M30" s="18"/>
      <c r="N30" s="18"/>
    </row>
    <row r="31" spans="1:14" ht="14.5" customHeight="1">
      <c r="A31" s="18"/>
      <c r="B31" s="25"/>
      <c r="C31" s="25"/>
      <c r="D31" s="25"/>
      <c r="E31" s="18"/>
      <c r="F31" s="18"/>
      <c r="G31" s="18"/>
      <c r="H31" s="18"/>
      <c r="I31" s="18"/>
      <c r="J31" s="18"/>
      <c r="K31" s="18"/>
      <c r="L31" s="18"/>
      <c r="M31" s="18"/>
      <c r="N31" s="18"/>
    </row>
    <row r="32" spans="1:14" ht="14.5" customHeight="1">
      <c r="A32" s="18"/>
      <c r="B32" s="25"/>
      <c r="C32" s="25"/>
      <c r="D32" s="25"/>
      <c r="E32" s="18"/>
      <c r="F32" s="18"/>
      <c r="G32" s="18"/>
      <c r="H32" s="18"/>
      <c r="I32" s="18"/>
      <c r="J32" s="18"/>
      <c r="K32" s="18"/>
      <c r="L32" s="18"/>
      <c r="M32" s="18"/>
      <c r="N32" s="18"/>
    </row>
    <row r="33" spans="1:14" ht="14.5" customHeight="1">
      <c r="A33" s="18"/>
      <c r="B33" s="25"/>
      <c r="C33" s="25"/>
      <c r="D33" s="25"/>
      <c r="E33" s="18"/>
      <c r="F33" s="18"/>
      <c r="G33" s="18"/>
      <c r="H33" s="18"/>
      <c r="I33" s="18"/>
      <c r="J33" s="18"/>
      <c r="K33" s="18"/>
      <c r="L33" s="18"/>
      <c r="M33" s="18"/>
      <c r="N33" s="18"/>
    </row>
    <row r="34" spans="1:14" ht="14.5" customHeight="1">
      <c r="A34" s="18"/>
      <c r="B34" s="25"/>
      <c r="C34" s="25"/>
      <c r="D34" s="25"/>
      <c r="E34" s="18"/>
      <c r="F34" s="18"/>
      <c r="G34" s="18"/>
      <c r="H34" s="18"/>
      <c r="I34" s="18"/>
      <c r="J34" s="18"/>
      <c r="K34" s="18"/>
      <c r="L34" s="18"/>
      <c r="M34" s="18"/>
      <c r="N34" s="18"/>
    </row>
    <row r="35" spans="1:14" ht="14.5" customHeight="1">
      <c r="A35" s="18"/>
      <c r="B35" s="23"/>
      <c r="C35" s="23"/>
      <c r="D35" s="23"/>
      <c r="E35" s="18"/>
      <c r="F35" s="18"/>
      <c r="G35" s="18"/>
      <c r="H35" s="18"/>
      <c r="I35" s="18"/>
      <c r="J35" s="18"/>
      <c r="K35" s="18"/>
      <c r="L35" s="18"/>
      <c r="M35" s="18"/>
      <c r="N35" s="18"/>
    </row>
    <row r="36" spans="1:14">
      <c r="A36" s="18"/>
      <c r="B36" s="24" t="s">
        <v>88</v>
      </c>
      <c r="C36" s="24"/>
      <c r="D36" s="24"/>
      <c r="E36" s="18"/>
      <c r="F36" s="18"/>
      <c r="G36" s="18"/>
      <c r="H36" s="18"/>
      <c r="I36" s="18"/>
      <c r="J36" s="18"/>
      <c r="K36" s="18"/>
      <c r="L36" s="18"/>
      <c r="M36" s="18"/>
      <c r="N36" s="18"/>
    </row>
    <row r="37" spans="1:14">
      <c r="A37" s="18"/>
      <c r="B37" s="24"/>
      <c r="C37" s="24"/>
      <c r="D37" s="24"/>
      <c r="E37" s="18"/>
      <c r="F37" s="18"/>
      <c r="G37" s="18"/>
      <c r="H37" s="18"/>
      <c r="I37" s="18"/>
      <c r="J37" s="18"/>
      <c r="K37" s="18"/>
      <c r="L37" s="18"/>
      <c r="M37" s="18"/>
      <c r="N37" s="18"/>
    </row>
    <row r="38" spans="1:14">
      <c r="A38" s="18"/>
      <c r="B38" s="24"/>
      <c r="C38" s="24"/>
      <c r="D38" s="24"/>
      <c r="E38" s="18"/>
      <c r="F38" s="18"/>
      <c r="G38" s="18"/>
      <c r="H38" s="18"/>
      <c r="I38" s="18"/>
      <c r="J38" s="18"/>
      <c r="K38" s="18"/>
      <c r="L38" s="18"/>
      <c r="M38" s="18"/>
      <c r="N38" s="18"/>
    </row>
    <row r="39" spans="1:14" ht="14.5" customHeight="1">
      <c r="A39" s="18"/>
      <c r="B39" s="25" t="s">
        <v>89</v>
      </c>
      <c r="C39" s="25"/>
      <c r="D39" s="25"/>
      <c r="E39" s="18"/>
      <c r="F39" s="18"/>
      <c r="G39" s="18"/>
      <c r="H39" s="18"/>
      <c r="I39" s="18"/>
      <c r="J39" s="18"/>
      <c r="K39" s="18"/>
      <c r="L39" s="18"/>
      <c r="M39" s="18"/>
      <c r="N39" s="18"/>
    </row>
    <row r="40" spans="1:14" ht="14.5" customHeight="1">
      <c r="A40" s="18"/>
      <c r="B40" s="25"/>
      <c r="C40" s="25"/>
      <c r="D40" s="25"/>
      <c r="E40" s="18"/>
      <c r="F40" s="18"/>
      <c r="G40" s="18"/>
      <c r="H40" s="18"/>
      <c r="I40" s="18"/>
      <c r="J40" s="18"/>
      <c r="K40" s="18"/>
      <c r="L40" s="18"/>
      <c r="M40" s="18"/>
      <c r="N40" s="18"/>
    </row>
    <row r="41" spans="1:14" ht="14.5" customHeight="1">
      <c r="A41" s="18"/>
      <c r="B41" s="25"/>
      <c r="C41" s="25"/>
      <c r="D41" s="25"/>
      <c r="E41" s="18"/>
      <c r="F41" s="18"/>
      <c r="G41" s="18"/>
      <c r="H41" s="18"/>
      <c r="I41" s="18"/>
      <c r="J41" s="18"/>
      <c r="K41" s="18"/>
      <c r="L41" s="18"/>
      <c r="M41" s="18"/>
      <c r="N41" s="18"/>
    </row>
    <row r="42" spans="1:14" ht="14.5" customHeight="1">
      <c r="A42" s="18"/>
      <c r="B42" s="25"/>
      <c r="C42" s="25"/>
      <c r="D42" s="25"/>
      <c r="E42" s="18"/>
      <c r="F42" s="18"/>
      <c r="G42" s="18"/>
      <c r="H42" s="18"/>
      <c r="I42" s="18"/>
      <c r="J42" s="18"/>
      <c r="K42" s="18"/>
      <c r="L42" s="18"/>
      <c r="M42" s="18"/>
      <c r="N42" s="18"/>
    </row>
    <row r="43" spans="1:14" ht="14.5" customHeight="1">
      <c r="A43" s="18"/>
      <c r="B43" s="25"/>
      <c r="C43" s="25"/>
      <c r="D43" s="25"/>
      <c r="E43" s="18"/>
      <c r="F43" s="18"/>
      <c r="G43" s="18"/>
      <c r="H43" s="18"/>
      <c r="I43" s="18"/>
      <c r="J43" s="18"/>
      <c r="K43" s="18"/>
      <c r="L43" s="18"/>
      <c r="M43" s="18"/>
      <c r="N43" s="18"/>
    </row>
    <row r="44" spans="1:14" ht="14.5" customHeight="1">
      <c r="A44" s="18"/>
      <c r="B44" s="25"/>
      <c r="C44" s="25"/>
      <c r="D44" s="25"/>
      <c r="E44" s="18"/>
      <c r="F44" s="18"/>
      <c r="G44" s="18"/>
      <c r="H44" s="18"/>
      <c r="I44" s="18"/>
      <c r="J44" s="18"/>
      <c r="K44" s="18"/>
      <c r="L44" s="18"/>
      <c r="M44" s="18"/>
      <c r="N44" s="18"/>
    </row>
    <row r="45" spans="1:14" ht="14.5" customHeight="1">
      <c r="A45" s="18"/>
      <c r="B45" s="25"/>
      <c r="C45" s="25"/>
      <c r="D45" s="25"/>
      <c r="E45" s="18"/>
      <c r="F45" s="18"/>
      <c r="G45" s="18"/>
      <c r="H45" s="18"/>
      <c r="I45" s="18"/>
      <c r="J45" s="18"/>
      <c r="K45" s="18"/>
      <c r="L45" s="18"/>
      <c r="M45" s="18"/>
      <c r="N45" s="18"/>
    </row>
    <row r="46" spans="1:14" ht="14.5" customHeight="1">
      <c r="A46" s="18"/>
      <c r="B46" s="25"/>
      <c r="C46" s="25"/>
      <c r="D46" s="25"/>
      <c r="E46" s="18"/>
      <c r="F46" s="18"/>
      <c r="G46" s="18"/>
      <c r="H46" s="18"/>
      <c r="I46" s="18"/>
      <c r="J46" s="18"/>
      <c r="K46" s="18"/>
      <c r="L46" s="18"/>
      <c r="M46" s="18"/>
      <c r="N46" s="18"/>
    </row>
    <row r="47" spans="1:14" ht="14.5" customHeight="1">
      <c r="A47" s="18"/>
      <c r="B47" s="23"/>
      <c r="C47" s="23"/>
      <c r="D47" s="23"/>
      <c r="E47" s="18"/>
      <c r="F47" s="18"/>
      <c r="G47" s="18"/>
      <c r="H47" s="18"/>
      <c r="I47" s="18"/>
      <c r="J47" s="18"/>
      <c r="K47" s="18"/>
      <c r="L47" s="18"/>
      <c r="M47" s="18"/>
      <c r="N47" s="18"/>
    </row>
    <row r="48" spans="1:14" ht="14.5" customHeight="1">
      <c r="B48" s="22"/>
      <c r="C48" s="22"/>
      <c r="D48" s="22"/>
    </row>
    <row r="49" spans="2:4" ht="14.5" customHeight="1">
      <c r="B49" s="22"/>
      <c r="C49" s="22"/>
      <c r="D49" s="22"/>
    </row>
  </sheetData>
  <mergeCells count="15">
    <mergeCell ref="L3:L5"/>
    <mergeCell ref="N3:N5"/>
    <mergeCell ref="B2:B5"/>
    <mergeCell ref="D2:D5"/>
    <mergeCell ref="C2:C5"/>
    <mergeCell ref="F3:F5"/>
    <mergeCell ref="H3:H5"/>
    <mergeCell ref="I3:I5"/>
    <mergeCell ref="J3:J5"/>
    <mergeCell ref="B22:D24"/>
    <mergeCell ref="B25:D34"/>
    <mergeCell ref="B36:D38"/>
    <mergeCell ref="B39:D46"/>
    <mergeCell ref="B7:D9"/>
    <mergeCell ref="B10:D20"/>
  </mergeCells>
  <pageMargins left="0.7" right="0.7" top="0.75" bottom="0.75" header="0.3" footer="0.3"/>
  <pageSetup scale="61" orientation="landscape"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20F17B-44DD-4756-8187-0D714631B1CF}">
  <dimension ref="A1:K501"/>
  <sheetViews>
    <sheetView topLeftCell="A484" workbookViewId="0">
      <selection sqref="A1:K501"/>
    </sheetView>
  </sheetViews>
  <sheetFormatPr defaultRowHeight="14.5"/>
  <cols>
    <col min="1" max="1" width="10.26953125" bestFit="1" customWidth="1"/>
    <col min="2" max="2" width="13.54296875" bestFit="1" customWidth="1"/>
    <col min="3" max="3" width="12.26953125" bestFit="1" customWidth="1"/>
    <col min="4" max="4" width="15.54296875" bestFit="1" customWidth="1"/>
    <col min="5" max="5" width="12.08984375" customWidth="1"/>
    <col min="6" max="6" width="11.54296875" bestFit="1" customWidth="1"/>
    <col min="7" max="7" width="10.453125" customWidth="1"/>
    <col min="8" max="8" width="14.26953125" customWidth="1"/>
    <col min="9" max="9" width="15.7265625" customWidth="1"/>
    <col min="10" max="10" width="17.90625" bestFit="1" customWidth="1"/>
    <col min="11" max="11" width="10.08984375" customWidth="1"/>
    <col min="12" max="12" width="12.7265625" bestFit="1" customWidth="1"/>
    <col min="13" max="13" width="9.6328125" bestFit="1" customWidth="1"/>
  </cols>
  <sheetData>
    <row r="1" spans="1:11" s="4" customFormat="1">
      <c r="A1" s="3" t="s">
        <v>0</v>
      </c>
      <c r="B1" s="4" t="s">
        <v>1</v>
      </c>
      <c r="C1" s="4" t="s">
        <v>2</v>
      </c>
      <c r="D1" s="4" t="s">
        <v>3</v>
      </c>
      <c r="E1" s="4" t="s">
        <v>4</v>
      </c>
      <c r="F1" s="4" t="s">
        <v>5</v>
      </c>
      <c r="G1" s="4" t="s">
        <v>6</v>
      </c>
      <c r="H1" s="4" t="s">
        <v>7</v>
      </c>
      <c r="I1" s="4" t="s">
        <v>8</v>
      </c>
      <c r="J1" s="4" t="s">
        <v>9</v>
      </c>
      <c r="K1" s="4" t="s">
        <v>10</v>
      </c>
    </row>
    <row r="2" spans="1:11">
      <c r="A2" s="1">
        <v>1</v>
      </c>
      <c r="B2">
        <v>150</v>
      </c>
      <c r="C2">
        <v>9</v>
      </c>
      <c r="D2" t="s">
        <v>11</v>
      </c>
      <c r="E2" t="s">
        <v>12</v>
      </c>
      <c r="F2">
        <v>611</v>
      </c>
      <c r="G2">
        <v>1</v>
      </c>
      <c r="H2" s="2">
        <v>44879</v>
      </c>
      <c r="I2">
        <v>62</v>
      </c>
      <c r="J2" t="s">
        <v>13</v>
      </c>
      <c r="K2" t="s">
        <v>14</v>
      </c>
    </row>
    <row r="3" spans="1:11">
      <c r="A3" s="1">
        <v>2</v>
      </c>
      <c r="B3">
        <v>176</v>
      </c>
      <c r="C3">
        <v>36</v>
      </c>
      <c r="D3" t="s">
        <v>15</v>
      </c>
      <c r="E3" t="s">
        <v>12</v>
      </c>
      <c r="F3">
        <v>751</v>
      </c>
      <c r="G3">
        <v>4</v>
      </c>
      <c r="H3" s="2">
        <v>44840</v>
      </c>
      <c r="I3">
        <v>23</v>
      </c>
      <c r="J3" t="s">
        <v>16</v>
      </c>
      <c r="K3" t="s">
        <v>17</v>
      </c>
    </row>
    <row r="4" spans="1:11">
      <c r="A4" s="1">
        <v>3</v>
      </c>
      <c r="B4">
        <v>37</v>
      </c>
      <c r="C4">
        <v>22</v>
      </c>
      <c r="D4" t="s">
        <v>18</v>
      </c>
      <c r="E4" t="s">
        <v>19</v>
      </c>
      <c r="F4">
        <v>821</v>
      </c>
      <c r="G4">
        <v>4</v>
      </c>
      <c r="H4" s="2">
        <v>44688</v>
      </c>
      <c r="I4">
        <v>54</v>
      </c>
      <c r="J4" t="s">
        <v>16</v>
      </c>
      <c r="K4" t="s">
        <v>20</v>
      </c>
    </row>
    <row r="5" spans="1:11">
      <c r="A5" s="1">
        <v>4</v>
      </c>
      <c r="B5">
        <v>143</v>
      </c>
      <c r="C5">
        <v>42</v>
      </c>
      <c r="D5" t="s">
        <v>21</v>
      </c>
      <c r="E5" t="s">
        <v>12</v>
      </c>
      <c r="F5">
        <v>395</v>
      </c>
      <c r="G5">
        <v>4</v>
      </c>
      <c r="H5" s="2">
        <v>44690</v>
      </c>
      <c r="I5">
        <v>50</v>
      </c>
      <c r="J5" t="s">
        <v>16</v>
      </c>
      <c r="K5" t="s">
        <v>14</v>
      </c>
    </row>
    <row r="6" spans="1:11">
      <c r="A6" s="1">
        <v>5</v>
      </c>
      <c r="B6">
        <v>163</v>
      </c>
      <c r="C6">
        <v>26</v>
      </c>
      <c r="D6" t="s">
        <v>18</v>
      </c>
      <c r="E6" t="s">
        <v>19</v>
      </c>
      <c r="F6">
        <v>301</v>
      </c>
      <c r="G6">
        <v>1</v>
      </c>
      <c r="H6" s="2">
        <v>44619</v>
      </c>
      <c r="I6">
        <v>39</v>
      </c>
      <c r="J6" t="s">
        <v>16</v>
      </c>
      <c r="K6" t="s">
        <v>22</v>
      </c>
    </row>
    <row r="7" spans="1:11">
      <c r="A7" s="1">
        <v>6</v>
      </c>
      <c r="B7">
        <v>199</v>
      </c>
      <c r="C7">
        <v>12</v>
      </c>
      <c r="D7" t="s">
        <v>11</v>
      </c>
      <c r="E7" t="s">
        <v>23</v>
      </c>
      <c r="F7">
        <v>130</v>
      </c>
      <c r="G7">
        <v>1</v>
      </c>
      <c r="H7" s="2">
        <v>44683</v>
      </c>
      <c r="I7">
        <v>38</v>
      </c>
      <c r="J7" t="s">
        <v>13</v>
      </c>
      <c r="K7" t="s">
        <v>24</v>
      </c>
    </row>
    <row r="8" spans="1:11">
      <c r="A8" s="1">
        <v>7</v>
      </c>
      <c r="B8">
        <v>160</v>
      </c>
      <c r="C8">
        <v>17</v>
      </c>
      <c r="D8" t="s">
        <v>25</v>
      </c>
      <c r="E8" t="s">
        <v>23</v>
      </c>
      <c r="F8">
        <v>251</v>
      </c>
      <c r="G8">
        <v>1</v>
      </c>
      <c r="H8" s="2">
        <v>44562</v>
      </c>
      <c r="I8">
        <v>23</v>
      </c>
      <c r="J8" t="s">
        <v>13</v>
      </c>
      <c r="K8" t="s">
        <v>22</v>
      </c>
    </row>
    <row r="9" spans="1:11">
      <c r="A9" s="1">
        <v>8</v>
      </c>
      <c r="B9">
        <v>11</v>
      </c>
      <c r="C9">
        <v>14</v>
      </c>
      <c r="D9" t="s">
        <v>26</v>
      </c>
      <c r="E9" t="s">
        <v>12</v>
      </c>
      <c r="F9">
        <v>776</v>
      </c>
      <c r="G9">
        <v>3</v>
      </c>
      <c r="H9" s="2">
        <v>44800</v>
      </c>
      <c r="I9">
        <v>23</v>
      </c>
      <c r="J9" t="s">
        <v>13</v>
      </c>
      <c r="K9" t="s">
        <v>22</v>
      </c>
    </row>
    <row r="10" spans="1:11">
      <c r="A10" s="1">
        <v>9</v>
      </c>
      <c r="B10">
        <v>138</v>
      </c>
      <c r="C10">
        <v>14</v>
      </c>
      <c r="D10" t="s">
        <v>27</v>
      </c>
      <c r="E10" t="s">
        <v>19</v>
      </c>
      <c r="F10">
        <v>141</v>
      </c>
      <c r="G10">
        <v>1</v>
      </c>
      <c r="H10" s="2">
        <v>44851</v>
      </c>
      <c r="I10">
        <v>21</v>
      </c>
      <c r="J10" t="s">
        <v>13</v>
      </c>
      <c r="K10" t="s">
        <v>24</v>
      </c>
    </row>
    <row r="11" spans="1:11">
      <c r="A11" s="1">
        <v>10</v>
      </c>
      <c r="B11">
        <v>78</v>
      </c>
      <c r="C11">
        <v>34</v>
      </c>
      <c r="D11" t="s">
        <v>15</v>
      </c>
      <c r="E11" t="s">
        <v>23</v>
      </c>
      <c r="F11">
        <v>826</v>
      </c>
      <c r="G11">
        <v>1</v>
      </c>
      <c r="H11" s="2">
        <v>44657</v>
      </c>
      <c r="I11">
        <v>47</v>
      </c>
      <c r="J11" t="s">
        <v>16</v>
      </c>
      <c r="K11" t="s">
        <v>22</v>
      </c>
    </row>
    <row r="12" spans="1:11">
      <c r="A12" s="1">
        <v>11</v>
      </c>
      <c r="B12">
        <v>77</v>
      </c>
      <c r="C12">
        <v>20</v>
      </c>
      <c r="D12" t="s">
        <v>28</v>
      </c>
      <c r="E12" t="s">
        <v>19</v>
      </c>
      <c r="F12">
        <v>928</v>
      </c>
      <c r="G12">
        <v>1</v>
      </c>
      <c r="H12" s="2">
        <v>44687</v>
      </c>
      <c r="I12">
        <v>28</v>
      </c>
      <c r="J12" t="s">
        <v>13</v>
      </c>
      <c r="K12" t="s">
        <v>14</v>
      </c>
    </row>
    <row r="13" spans="1:11">
      <c r="A13" s="1">
        <v>12</v>
      </c>
      <c r="B13">
        <v>185</v>
      </c>
      <c r="C13">
        <v>11</v>
      </c>
      <c r="D13" t="s">
        <v>28</v>
      </c>
      <c r="E13" t="s">
        <v>23</v>
      </c>
      <c r="F13">
        <v>155</v>
      </c>
      <c r="G13">
        <v>3</v>
      </c>
      <c r="H13" s="2">
        <v>44679</v>
      </c>
      <c r="I13">
        <v>47</v>
      </c>
      <c r="J13" t="s">
        <v>16</v>
      </c>
      <c r="K13" t="s">
        <v>14</v>
      </c>
    </row>
    <row r="14" spans="1:11">
      <c r="A14" s="1">
        <v>13</v>
      </c>
      <c r="B14">
        <v>153</v>
      </c>
      <c r="C14">
        <v>16</v>
      </c>
      <c r="D14" t="s">
        <v>28</v>
      </c>
      <c r="E14" t="s">
        <v>12</v>
      </c>
      <c r="F14">
        <v>776</v>
      </c>
      <c r="G14">
        <v>1</v>
      </c>
      <c r="H14" s="2">
        <v>44609</v>
      </c>
      <c r="I14">
        <v>48</v>
      </c>
      <c r="J14" t="s">
        <v>16</v>
      </c>
      <c r="K14" t="s">
        <v>14</v>
      </c>
    </row>
    <row r="15" spans="1:11">
      <c r="A15" s="1">
        <v>14</v>
      </c>
      <c r="B15">
        <v>2</v>
      </c>
      <c r="C15">
        <v>31</v>
      </c>
      <c r="D15" t="s">
        <v>29</v>
      </c>
      <c r="E15" t="s">
        <v>19</v>
      </c>
      <c r="F15">
        <v>611</v>
      </c>
      <c r="G15">
        <v>4</v>
      </c>
      <c r="H15" s="2">
        <v>44650</v>
      </c>
      <c r="I15">
        <v>41</v>
      </c>
      <c r="J15" t="s">
        <v>16</v>
      </c>
      <c r="K15" t="s">
        <v>24</v>
      </c>
    </row>
    <row r="16" spans="1:11">
      <c r="A16" s="1">
        <v>15</v>
      </c>
      <c r="B16">
        <v>64</v>
      </c>
      <c r="C16">
        <v>6</v>
      </c>
      <c r="D16" t="s">
        <v>28</v>
      </c>
      <c r="E16" t="s">
        <v>19</v>
      </c>
      <c r="F16">
        <v>912</v>
      </c>
      <c r="G16">
        <v>1</v>
      </c>
      <c r="H16" s="2">
        <v>44798</v>
      </c>
      <c r="I16">
        <v>26</v>
      </c>
      <c r="J16" t="s">
        <v>16</v>
      </c>
      <c r="K16" t="s">
        <v>22</v>
      </c>
    </row>
    <row r="17" spans="1:11">
      <c r="A17" s="1">
        <v>16</v>
      </c>
      <c r="B17">
        <v>35</v>
      </c>
      <c r="C17">
        <v>19</v>
      </c>
      <c r="D17" t="s">
        <v>27</v>
      </c>
      <c r="E17" t="s">
        <v>12</v>
      </c>
      <c r="F17">
        <v>751</v>
      </c>
      <c r="G17">
        <v>4</v>
      </c>
      <c r="H17" s="2">
        <v>44833</v>
      </c>
      <c r="I17">
        <v>20</v>
      </c>
      <c r="J17" t="s">
        <v>16</v>
      </c>
      <c r="K17" t="s">
        <v>24</v>
      </c>
    </row>
    <row r="18" spans="1:11">
      <c r="A18" s="1">
        <v>17</v>
      </c>
      <c r="B18">
        <v>7</v>
      </c>
      <c r="C18">
        <v>37</v>
      </c>
      <c r="D18" t="s">
        <v>26</v>
      </c>
      <c r="E18" t="s">
        <v>23</v>
      </c>
      <c r="F18">
        <v>779</v>
      </c>
      <c r="G18">
        <v>4</v>
      </c>
      <c r="H18" s="2">
        <v>44750</v>
      </c>
      <c r="I18">
        <v>48</v>
      </c>
      <c r="J18" t="s">
        <v>13</v>
      </c>
      <c r="K18" t="s">
        <v>14</v>
      </c>
    </row>
    <row r="19" spans="1:11">
      <c r="A19" s="1">
        <v>18</v>
      </c>
      <c r="B19">
        <v>85</v>
      </c>
      <c r="C19">
        <v>4</v>
      </c>
      <c r="D19" t="s">
        <v>28</v>
      </c>
      <c r="E19" t="s">
        <v>23</v>
      </c>
      <c r="F19">
        <v>477</v>
      </c>
      <c r="G19">
        <v>4</v>
      </c>
      <c r="H19" s="2">
        <v>44753</v>
      </c>
      <c r="I19">
        <v>57</v>
      </c>
      <c r="J19" t="s">
        <v>13</v>
      </c>
      <c r="K19" t="s">
        <v>22</v>
      </c>
    </row>
    <row r="20" spans="1:11">
      <c r="A20" s="1">
        <v>19</v>
      </c>
      <c r="B20">
        <v>146</v>
      </c>
      <c r="C20">
        <v>47</v>
      </c>
      <c r="D20" t="s">
        <v>18</v>
      </c>
      <c r="E20" t="s">
        <v>23</v>
      </c>
      <c r="F20">
        <v>84</v>
      </c>
      <c r="G20">
        <v>3</v>
      </c>
      <c r="H20" s="2">
        <v>44630</v>
      </c>
      <c r="I20">
        <v>54</v>
      </c>
      <c r="J20" t="s">
        <v>13</v>
      </c>
      <c r="K20" t="s">
        <v>22</v>
      </c>
    </row>
    <row r="21" spans="1:11">
      <c r="A21" s="1">
        <v>20</v>
      </c>
      <c r="B21">
        <v>67</v>
      </c>
      <c r="C21">
        <v>4</v>
      </c>
      <c r="D21" t="s">
        <v>18</v>
      </c>
      <c r="E21" t="s">
        <v>19</v>
      </c>
      <c r="F21">
        <v>141</v>
      </c>
      <c r="G21">
        <v>3</v>
      </c>
      <c r="H21" s="2">
        <v>44839</v>
      </c>
      <c r="I21">
        <v>53</v>
      </c>
      <c r="J21" t="s">
        <v>13</v>
      </c>
      <c r="K21" t="s">
        <v>30</v>
      </c>
    </row>
    <row r="22" spans="1:11">
      <c r="A22" s="1">
        <v>21</v>
      </c>
      <c r="B22">
        <v>42</v>
      </c>
      <c r="C22">
        <v>20</v>
      </c>
      <c r="D22" t="s">
        <v>29</v>
      </c>
      <c r="E22" t="s">
        <v>19</v>
      </c>
      <c r="F22">
        <v>141</v>
      </c>
      <c r="G22">
        <v>3</v>
      </c>
      <c r="H22" s="2">
        <v>44910</v>
      </c>
      <c r="I22">
        <v>41</v>
      </c>
      <c r="J22" t="s">
        <v>16</v>
      </c>
      <c r="K22" t="s">
        <v>30</v>
      </c>
    </row>
    <row r="23" spans="1:11">
      <c r="A23" s="1">
        <v>22</v>
      </c>
      <c r="B23">
        <v>118</v>
      </c>
      <c r="C23">
        <v>10</v>
      </c>
      <c r="D23" t="s">
        <v>27</v>
      </c>
      <c r="E23" t="s">
        <v>19</v>
      </c>
      <c r="F23">
        <v>51</v>
      </c>
      <c r="G23">
        <v>1</v>
      </c>
      <c r="H23" s="2">
        <v>44808</v>
      </c>
      <c r="I23">
        <v>48</v>
      </c>
      <c r="J23" t="s">
        <v>13</v>
      </c>
      <c r="K23" t="s">
        <v>17</v>
      </c>
    </row>
    <row r="24" spans="1:11">
      <c r="A24" s="1">
        <v>23</v>
      </c>
      <c r="B24">
        <v>125</v>
      </c>
      <c r="C24">
        <v>24</v>
      </c>
      <c r="D24" t="s">
        <v>26</v>
      </c>
      <c r="E24" t="s">
        <v>23</v>
      </c>
      <c r="F24">
        <v>614</v>
      </c>
      <c r="G24">
        <v>4</v>
      </c>
      <c r="H24" s="2">
        <v>44637</v>
      </c>
      <c r="I24">
        <v>23</v>
      </c>
      <c r="J24" t="s">
        <v>16</v>
      </c>
      <c r="K24" t="s">
        <v>20</v>
      </c>
    </row>
    <row r="25" spans="1:11">
      <c r="A25" s="1">
        <v>24</v>
      </c>
      <c r="B25">
        <v>167</v>
      </c>
      <c r="C25">
        <v>35</v>
      </c>
      <c r="D25" t="s">
        <v>15</v>
      </c>
      <c r="E25" t="s">
        <v>19</v>
      </c>
      <c r="F25">
        <v>611</v>
      </c>
      <c r="G25">
        <v>3</v>
      </c>
      <c r="H25" s="2">
        <v>44715</v>
      </c>
      <c r="I25">
        <v>19</v>
      </c>
      <c r="J25" t="s">
        <v>13</v>
      </c>
      <c r="K25" t="s">
        <v>30</v>
      </c>
    </row>
    <row r="26" spans="1:11">
      <c r="A26" s="1">
        <v>25</v>
      </c>
      <c r="B26">
        <v>169</v>
      </c>
      <c r="C26">
        <v>26</v>
      </c>
      <c r="D26" t="s">
        <v>11</v>
      </c>
      <c r="E26" t="s">
        <v>12</v>
      </c>
      <c r="F26">
        <v>841</v>
      </c>
      <c r="G26">
        <v>3</v>
      </c>
      <c r="H26" s="2">
        <v>44705</v>
      </c>
      <c r="I26">
        <v>37</v>
      </c>
      <c r="J26" t="s">
        <v>16</v>
      </c>
      <c r="K26" t="s">
        <v>24</v>
      </c>
    </row>
    <row r="27" spans="1:11">
      <c r="A27" s="1">
        <v>26</v>
      </c>
      <c r="B27">
        <v>24</v>
      </c>
      <c r="C27">
        <v>37</v>
      </c>
      <c r="D27" t="s">
        <v>26</v>
      </c>
      <c r="E27" t="s">
        <v>12</v>
      </c>
      <c r="F27">
        <v>992</v>
      </c>
      <c r="G27">
        <v>1</v>
      </c>
      <c r="H27" s="2">
        <v>44647</v>
      </c>
      <c r="I27">
        <v>45</v>
      </c>
      <c r="J27" t="s">
        <v>16</v>
      </c>
      <c r="K27" t="s">
        <v>30</v>
      </c>
    </row>
    <row r="28" spans="1:11">
      <c r="A28" s="1">
        <v>27</v>
      </c>
      <c r="B28">
        <v>188</v>
      </c>
      <c r="C28">
        <v>38</v>
      </c>
      <c r="D28" t="s">
        <v>11</v>
      </c>
      <c r="E28" t="s">
        <v>19</v>
      </c>
      <c r="F28">
        <v>102</v>
      </c>
      <c r="G28">
        <v>3</v>
      </c>
      <c r="H28" s="2">
        <v>44746</v>
      </c>
      <c r="I28">
        <v>28</v>
      </c>
      <c r="J28" t="s">
        <v>13</v>
      </c>
      <c r="K28" t="s">
        <v>17</v>
      </c>
    </row>
    <row r="29" spans="1:11">
      <c r="A29" s="1">
        <v>28</v>
      </c>
      <c r="B29">
        <v>46</v>
      </c>
      <c r="C29">
        <v>21</v>
      </c>
      <c r="D29" t="s">
        <v>25</v>
      </c>
      <c r="E29" t="s">
        <v>12</v>
      </c>
      <c r="F29">
        <v>928</v>
      </c>
      <c r="G29">
        <v>1</v>
      </c>
      <c r="H29" s="2">
        <v>44846</v>
      </c>
      <c r="I29">
        <v>21</v>
      </c>
      <c r="J29" t="s">
        <v>16</v>
      </c>
      <c r="K29" t="s">
        <v>22</v>
      </c>
    </row>
    <row r="30" spans="1:11">
      <c r="A30" s="1">
        <v>29</v>
      </c>
      <c r="B30">
        <v>19</v>
      </c>
      <c r="C30">
        <v>40</v>
      </c>
      <c r="D30" t="s">
        <v>11</v>
      </c>
      <c r="E30" t="s">
        <v>19</v>
      </c>
      <c r="F30">
        <v>798</v>
      </c>
      <c r="G30">
        <v>2</v>
      </c>
      <c r="H30" s="2">
        <v>44781</v>
      </c>
      <c r="I30">
        <v>32</v>
      </c>
      <c r="J30" t="s">
        <v>16</v>
      </c>
      <c r="K30" t="s">
        <v>17</v>
      </c>
    </row>
    <row r="31" spans="1:11">
      <c r="A31" s="1">
        <v>30</v>
      </c>
      <c r="B31">
        <v>68</v>
      </c>
      <c r="C31">
        <v>39</v>
      </c>
      <c r="D31" t="s">
        <v>21</v>
      </c>
      <c r="E31" t="s">
        <v>23</v>
      </c>
      <c r="F31">
        <v>826</v>
      </c>
      <c r="G31">
        <v>3</v>
      </c>
      <c r="H31" s="2">
        <v>44630</v>
      </c>
      <c r="I31">
        <v>23</v>
      </c>
      <c r="J31" t="s">
        <v>13</v>
      </c>
      <c r="K31" t="s">
        <v>22</v>
      </c>
    </row>
    <row r="32" spans="1:11">
      <c r="A32" s="1">
        <v>31</v>
      </c>
      <c r="B32">
        <v>102</v>
      </c>
      <c r="C32">
        <v>21</v>
      </c>
      <c r="D32" t="s">
        <v>18</v>
      </c>
      <c r="E32" t="s">
        <v>12</v>
      </c>
      <c r="F32">
        <v>611</v>
      </c>
      <c r="G32">
        <v>2</v>
      </c>
      <c r="H32" s="2">
        <v>44608</v>
      </c>
      <c r="I32">
        <v>47</v>
      </c>
      <c r="J32" t="s">
        <v>16</v>
      </c>
      <c r="K32" t="s">
        <v>22</v>
      </c>
    </row>
    <row r="33" spans="1:11">
      <c r="A33" s="1">
        <v>32</v>
      </c>
      <c r="B33">
        <v>42</v>
      </c>
      <c r="C33">
        <v>10</v>
      </c>
      <c r="D33" t="s">
        <v>27</v>
      </c>
      <c r="E33" t="s">
        <v>23</v>
      </c>
      <c r="F33">
        <v>614</v>
      </c>
      <c r="G33">
        <v>1</v>
      </c>
      <c r="H33" s="2">
        <v>44655</v>
      </c>
      <c r="I33">
        <v>55</v>
      </c>
      <c r="J33" t="s">
        <v>13</v>
      </c>
      <c r="K33" t="s">
        <v>20</v>
      </c>
    </row>
    <row r="34" spans="1:11">
      <c r="A34" s="1">
        <v>33</v>
      </c>
      <c r="B34">
        <v>32</v>
      </c>
      <c r="C34">
        <v>38</v>
      </c>
      <c r="D34" t="s">
        <v>31</v>
      </c>
      <c r="E34" t="s">
        <v>19</v>
      </c>
      <c r="F34">
        <v>526</v>
      </c>
      <c r="G34">
        <v>4</v>
      </c>
      <c r="H34" s="2">
        <v>44799</v>
      </c>
      <c r="I34">
        <v>19</v>
      </c>
      <c r="J34" t="s">
        <v>13</v>
      </c>
      <c r="K34" t="s">
        <v>30</v>
      </c>
    </row>
    <row r="35" spans="1:11">
      <c r="A35" s="1">
        <v>34</v>
      </c>
      <c r="B35">
        <v>167</v>
      </c>
      <c r="C35">
        <v>46</v>
      </c>
      <c r="D35" t="s">
        <v>29</v>
      </c>
      <c r="E35" t="s">
        <v>19</v>
      </c>
      <c r="F35">
        <v>130</v>
      </c>
      <c r="G35">
        <v>3</v>
      </c>
      <c r="H35" s="2">
        <v>44765</v>
      </c>
      <c r="I35">
        <v>32</v>
      </c>
      <c r="J35" t="s">
        <v>13</v>
      </c>
      <c r="K35" t="s">
        <v>24</v>
      </c>
    </row>
    <row r="36" spans="1:11">
      <c r="A36" s="1">
        <v>35</v>
      </c>
      <c r="B36">
        <v>109</v>
      </c>
      <c r="C36">
        <v>4</v>
      </c>
      <c r="D36" t="s">
        <v>21</v>
      </c>
      <c r="E36" t="s">
        <v>12</v>
      </c>
      <c r="F36">
        <v>320</v>
      </c>
      <c r="G36">
        <v>1</v>
      </c>
      <c r="H36" s="2">
        <v>44779</v>
      </c>
      <c r="I36">
        <v>28</v>
      </c>
      <c r="J36" t="s">
        <v>16</v>
      </c>
      <c r="K36" t="s">
        <v>24</v>
      </c>
    </row>
    <row r="37" spans="1:11">
      <c r="A37" s="1">
        <v>36</v>
      </c>
      <c r="B37">
        <v>36</v>
      </c>
      <c r="C37">
        <v>45</v>
      </c>
      <c r="D37" t="s">
        <v>11</v>
      </c>
      <c r="E37" t="s">
        <v>12</v>
      </c>
      <c r="F37">
        <v>251</v>
      </c>
      <c r="G37">
        <v>4</v>
      </c>
      <c r="H37" s="2">
        <v>44902</v>
      </c>
      <c r="I37">
        <v>25</v>
      </c>
      <c r="J37" t="s">
        <v>16</v>
      </c>
      <c r="K37" t="s">
        <v>14</v>
      </c>
    </row>
    <row r="38" spans="1:11">
      <c r="A38" s="1">
        <v>37</v>
      </c>
      <c r="B38">
        <v>97</v>
      </c>
      <c r="C38">
        <v>20</v>
      </c>
      <c r="D38" t="s">
        <v>28</v>
      </c>
      <c r="E38" t="s">
        <v>19</v>
      </c>
      <c r="F38">
        <v>251</v>
      </c>
      <c r="G38">
        <v>4</v>
      </c>
      <c r="H38" s="2">
        <v>44600</v>
      </c>
      <c r="I38">
        <v>43</v>
      </c>
      <c r="J38" t="s">
        <v>16</v>
      </c>
      <c r="K38" t="s">
        <v>22</v>
      </c>
    </row>
    <row r="39" spans="1:11">
      <c r="A39" s="1">
        <v>38</v>
      </c>
      <c r="B39">
        <v>164</v>
      </c>
      <c r="C39">
        <v>17</v>
      </c>
      <c r="D39" t="s">
        <v>27</v>
      </c>
      <c r="E39" t="s">
        <v>12</v>
      </c>
      <c r="F39">
        <v>947</v>
      </c>
      <c r="G39">
        <v>2</v>
      </c>
      <c r="H39" s="2">
        <v>44661</v>
      </c>
      <c r="I39">
        <v>62</v>
      </c>
      <c r="J39" t="s">
        <v>13</v>
      </c>
      <c r="K39" t="s">
        <v>24</v>
      </c>
    </row>
    <row r="40" spans="1:11">
      <c r="A40" s="1">
        <v>39</v>
      </c>
      <c r="B40">
        <v>131</v>
      </c>
      <c r="C40">
        <v>7</v>
      </c>
      <c r="D40" t="s">
        <v>21</v>
      </c>
      <c r="E40" t="s">
        <v>12</v>
      </c>
      <c r="F40">
        <v>921</v>
      </c>
      <c r="G40">
        <v>1</v>
      </c>
      <c r="H40" s="2">
        <v>44850</v>
      </c>
      <c r="I40">
        <v>61</v>
      </c>
      <c r="J40" t="s">
        <v>16</v>
      </c>
      <c r="K40" t="s">
        <v>20</v>
      </c>
    </row>
    <row r="41" spans="1:11">
      <c r="A41" s="1">
        <v>40</v>
      </c>
      <c r="B41">
        <v>73</v>
      </c>
      <c r="C41">
        <v>4</v>
      </c>
      <c r="D41" t="s">
        <v>29</v>
      </c>
      <c r="E41" t="s">
        <v>23</v>
      </c>
      <c r="F41">
        <v>841</v>
      </c>
      <c r="G41">
        <v>4</v>
      </c>
      <c r="H41" s="2">
        <v>44815</v>
      </c>
      <c r="I41">
        <v>22</v>
      </c>
      <c r="J41" t="s">
        <v>13</v>
      </c>
      <c r="K41" t="s">
        <v>22</v>
      </c>
    </row>
    <row r="42" spans="1:11">
      <c r="A42" s="1">
        <v>41</v>
      </c>
      <c r="B42">
        <v>136</v>
      </c>
      <c r="C42">
        <v>29</v>
      </c>
      <c r="D42" t="s">
        <v>18</v>
      </c>
      <c r="E42" t="s">
        <v>19</v>
      </c>
      <c r="F42">
        <v>437</v>
      </c>
      <c r="G42">
        <v>3</v>
      </c>
      <c r="H42" s="2">
        <v>44783</v>
      </c>
      <c r="I42">
        <v>23</v>
      </c>
      <c r="J42" t="s">
        <v>13</v>
      </c>
      <c r="K42" t="s">
        <v>20</v>
      </c>
    </row>
    <row r="43" spans="1:11">
      <c r="A43" s="1">
        <v>42</v>
      </c>
      <c r="B43">
        <v>97</v>
      </c>
      <c r="C43">
        <v>14</v>
      </c>
      <c r="D43" t="s">
        <v>27</v>
      </c>
      <c r="E43" t="s">
        <v>12</v>
      </c>
      <c r="F43">
        <v>774</v>
      </c>
      <c r="G43">
        <v>3</v>
      </c>
      <c r="H43" s="2">
        <v>44918</v>
      </c>
      <c r="I43">
        <v>43</v>
      </c>
      <c r="J43" t="s">
        <v>16</v>
      </c>
      <c r="K43" t="s">
        <v>24</v>
      </c>
    </row>
    <row r="44" spans="1:11">
      <c r="A44" s="1">
        <v>43</v>
      </c>
      <c r="B44">
        <v>123</v>
      </c>
      <c r="C44">
        <v>3</v>
      </c>
      <c r="D44" t="s">
        <v>29</v>
      </c>
      <c r="E44" t="s">
        <v>23</v>
      </c>
      <c r="F44">
        <v>865</v>
      </c>
      <c r="G44">
        <v>2</v>
      </c>
      <c r="H44" s="2">
        <v>44584</v>
      </c>
      <c r="I44">
        <v>21</v>
      </c>
      <c r="J44" t="s">
        <v>13</v>
      </c>
      <c r="K44" t="s">
        <v>24</v>
      </c>
    </row>
    <row r="45" spans="1:11">
      <c r="A45" s="1">
        <v>44</v>
      </c>
      <c r="B45">
        <v>70</v>
      </c>
      <c r="C45">
        <v>24</v>
      </c>
      <c r="D45" t="s">
        <v>25</v>
      </c>
      <c r="E45" t="s">
        <v>23</v>
      </c>
      <c r="F45">
        <v>301</v>
      </c>
      <c r="G45">
        <v>4</v>
      </c>
      <c r="H45" s="2">
        <v>44811</v>
      </c>
      <c r="I45">
        <v>36</v>
      </c>
      <c r="J45" t="s">
        <v>16</v>
      </c>
      <c r="K45" t="s">
        <v>14</v>
      </c>
    </row>
    <row r="46" spans="1:11">
      <c r="A46" s="1">
        <v>45</v>
      </c>
      <c r="B46">
        <v>169</v>
      </c>
      <c r="C46">
        <v>37</v>
      </c>
      <c r="D46" t="s">
        <v>25</v>
      </c>
      <c r="E46" t="s">
        <v>12</v>
      </c>
      <c r="F46">
        <v>255</v>
      </c>
      <c r="G46">
        <v>1</v>
      </c>
      <c r="H46" s="2">
        <v>44571</v>
      </c>
      <c r="I46">
        <v>37</v>
      </c>
      <c r="J46" t="s">
        <v>16</v>
      </c>
      <c r="K46" t="s">
        <v>24</v>
      </c>
    </row>
    <row r="47" spans="1:11">
      <c r="A47" s="1">
        <v>46</v>
      </c>
      <c r="B47">
        <v>196</v>
      </c>
      <c r="C47">
        <v>16</v>
      </c>
      <c r="D47" t="s">
        <v>29</v>
      </c>
      <c r="E47" t="s">
        <v>12</v>
      </c>
      <c r="F47">
        <v>319</v>
      </c>
      <c r="G47">
        <v>3</v>
      </c>
      <c r="H47" s="2">
        <v>44807</v>
      </c>
      <c r="I47">
        <v>50</v>
      </c>
      <c r="J47" t="s">
        <v>16</v>
      </c>
      <c r="K47" t="s">
        <v>22</v>
      </c>
    </row>
    <row r="48" spans="1:11">
      <c r="A48" s="1">
        <v>47</v>
      </c>
      <c r="B48">
        <v>13</v>
      </c>
      <c r="C48">
        <v>4</v>
      </c>
      <c r="D48" t="s">
        <v>21</v>
      </c>
      <c r="E48" t="s">
        <v>19</v>
      </c>
      <c r="F48">
        <v>255</v>
      </c>
      <c r="G48">
        <v>4</v>
      </c>
      <c r="H48" s="2">
        <v>44886</v>
      </c>
      <c r="I48">
        <v>37</v>
      </c>
      <c r="J48" t="s">
        <v>16</v>
      </c>
      <c r="K48" t="s">
        <v>22</v>
      </c>
    </row>
    <row r="49" spans="1:11">
      <c r="A49" s="1">
        <v>48</v>
      </c>
      <c r="B49">
        <v>49</v>
      </c>
      <c r="C49">
        <v>24</v>
      </c>
      <c r="D49" t="s">
        <v>27</v>
      </c>
      <c r="E49" t="s">
        <v>19</v>
      </c>
      <c r="F49">
        <v>912</v>
      </c>
      <c r="G49">
        <v>4</v>
      </c>
      <c r="H49" s="2">
        <v>44661</v>
      </c>
      <c r="I49">
        <v>29</v>
      </c>
      <c r="J49" t="s">
        <v>16</v>
      </c>
      <c r="K49" t="s">
        <v>22</v>
      </c>
    </row>
    <row r="50" spans="1:11">
      <c r="A50" s="1">
        <v>49</v>
      </c>
      <c r="B50">
        <v>60</v>
      </c>
      <c r="C50">
        <v>34</v>
      </c>
      <c r="D50" t="s">
        <v>21</v>
      </c>
      <c r="E50" t="s">
        <v>19</v>
      </c>
      <c r="F50">
        <v>947</v>
      </c>
      <c r="G50">
        <v>2</v>
      </c>
      <c r="H50" s="2">
        <v>44851</v>
      </c>
      <c r="I50">
        <v>64</v>
      </c>
      <c r="J50" t="s">
        <v>13</v>
      </c>
      <c r="K50" t="s">
        <v>14</v>
      </c>
    </row>
    <row r="51" spans="1:11">
      <c r="A51" s="1">
        <v>50</v>
      </c>
      <c r="B51">
        <v>130</v>
      </c>
      <c r="C51">
        <v>30</v>
      </c>
      <c r="D51" t="s">
        <v>15</v>
      </c>
      <c r="E51" t="s">
        <v>19</v>
      </c>
      <c r="F51">
        <v>821</v>
      </c>
      <c r="G51">
        <v>3</v>
      </c>
      <c r="H51" s="2">
        <v>44741</v>
      </c>
      <c r="I51">
        <v>18</v>
      </c>
      <c r="J51" t="s">
        <v>13</v>
      </c>
      <c r="K51" t="s">
        <v>14</v>
      </c>
    </row>
    <row r="52" spans="1:11">
      <c r="A52" s="1">
        <v>51</v>
      </c>
      <c r="B52">
        <v>188</v>
      </c>
      <c r="C52">
        <v>18</v>
      </c>
      <c r="D52" t="s">
        <v>11</v>
      </c>
      <c r="E52" t="s">
        <v>12</v>
      </c>
      <c r="F52">
        <v>779</v>
      </c>
      <c r="G52">
        <v>3</v>
      </c>
      <c r="H52" s="2">
        <v>44784</v>
      </c>
      <c r="I52">
        <v>43</v>
      </c>
      <c r="J52" t="s">
        <v>13</v>
      </c>
      <c r="K52" t="s">
        <v>24</v>
      </c>
    </row>
    <row r="53" spans="1:11">
      <c r="A53" s="1">
        <v>52</v>
      </c>
      <c r="B53">
        <v>5</v>
      </c>
      <c r="C53">
        <v>19</v>
      </c>
      <c r="D53" t="s">
        <v>15</v>
      </c>
      <c r="E53" t="s">
        <v>23</v>
      </c>
      <c r="F53">
        <v>437</v>
      </c>
      <c r="G53">
        <v>1</v>
      </c>
      <c r="H53" s="2">
        <v>44811</v>
      </c>
      <c r="I53">
        <v>31</v>
      </c>
      <c r="J53" t="s">
        <v>16</v>
      </c>
      <c r="K53" t="s">
        <v>17</v>
      </c>
    </row>
    <row r="54" spans="1:11">
      <c r="A54" s="1">
        <v>53</v>
      </c>
      <c r="B54">
        <v>172</v>
      </c>
      <c r="C54">
        <v>31</v>
      </c>
      <c r="D54" t="s">
        <v>25</v>
      </c>
      <c r="E54" t="s">
        <v>23</v>
      </c>
      <c r="F54">
        <v>141</v>
      </c>
      <c r="G54">
        <v>3</v>
      </c>
      <c r="H54" s="2">
        <v>44708</v>
      </c>
      <c r="I54">
        <v>55</v>
      </c>
      <c r="J54" t="s">
        <v>16</v>
      </c>
      <c r="K54" t="s">
        <v>17</v>
      </c>
    </row>
    <row r="55" spans="1:11">
      <c r="A55" s="1">
        <v>54</v>
      </c>
      <c r="B55">
        <v>27</v>
      </c>
      <c r="C55">
        <v>19</v>
      </c>
      <c r="D55" t="s">
        <v>18</v>
      </c>
      <c r="E55" t="s">
        <v>12</v>
      </c>
      <c r="F55">
        <v>319</v>
      </c>
      <c r="G55">
        <v>1</v>
      </c>
      <c r="H55" s="2">
        <v>44657</v>
      </c>
      <c r="I55">
        <v>54</v>
      </c>
      <c r="J55" t="s">
        <v>16</v>
      </c>
      <c r="K55" t="s">
        <v>14</v>
      </c>
    </row>
    <row r="56" spans="1:11">
      <c r="A56" s="1">
        <v>55</v>
      </c>
      <c r="B56">
        <v>160</v>
      </c>
      <c r="C56">
        <v>49</v>
      </c>
      <c r="D56" t="s">
        <v>26</v>
      </c>
      <c r="E56" t="s">
        <v>23</v>
      </c>
      <c r="F56">
        <v>841</v>
      </c>
      <c r="G56">
        <v>3</v>
      </c>
      <c r="H56" s="2">
        <v>44818</v>
      </c>
      <c r="I56">
        <v>28</v>
      </c>
      <c r="J56" t="s">
        <v>13</v>
      </c>
      <c r="K56" t="s">
        <v>24</v>
      </c>
    </row>
    <row r="57" spans="1:11">
      <c r="A57" s="1">
        <v>56</v>
      </c>
      <c r="B57">
        <v>149</v>
      </c>
      <c r="C57">
        <v>46</v>
      </c>
      <c r="D57" t="s">
        <v>11</v>
      </c>
      <c r="E57" t="s">
        <v>12</v>
      </c>
      <c r="F57">
        <v>301</v>
      </c>
      <c r="G57">
        <v>2</v>
      </c>
      <c r="H57" s="2">
        <v>44886</v>
      </c>
      <c r="I57">
        <v>53</v>
      </c>
      <c r="J57" t="s">
        <v>16</v>
      </c>
      <c r="K57" t="s">
        <v>17</v>
      </c>
    </row>
    <row r="58" spans="1:11">
      <c r="A58" s="1">
        <v>57</v>
      </c>
      <c r="B58">
        <v>8</v>
      </c>
      <c r="C58">
        <v>19</v>
      </c>
      <c r="D58" t="s">
        <v>25</v>
      </c>
      <c r="E58" t="s">
        <v>12</v>
      </c>
      <c r="F58">
        <v>437</v>
      </c>
      <c r="G58">
        <v>3</v>
      </c>
      <c r="H58" s="2">
        <v>44565</v>
      </c>
      <c r="I58">
        <v>30</v>
      </c>
      <c r="J58" t="s">
        <v>13</v>
      </c>
      <c r="K58" t="s">
        <v>24</v>
      </c>
    </row>
    <row r="59" spans="1:11">
      <c r="A59" s="1">
        <v>58</v>
      </c>
      <c r="B59">
        <v>200</v>
      </c>
      <c r="C59">
        <v>22</v>
      </c>
      <c r="D59" t="s">
        <v>21</v>
      </c>
      <c r="E59" t="s">
        <v>23</v>
      </c>
      <c r="F59">
        <v>826</v>
      </c>
      <c r="G59">
        <v>1</v>
      </c>
      <c r="H59" s="2">
        <v>44577</v>
      </c>
      <c r="I59">
        <v>60</v>
      </c>
      <c r="J59" t="s">
        <v>13</v>
      </c>
      <c r="K59" t="s">
        <v>24</v>
      </c>
    </row>
    <row r="60" spans="1:11">
      <c r="A60" s="1">
        <v>59</v>
      </c>
      <c r="B60">
        <v>50</v>
      </c>
      <c r="C60">
        <v>24</v>
      </c>
      <c r="D60" t="s">
        <v>21</v>
      </c>
      <c r="E60" t="s">
        <v>19</v>
      </c>
      <c r="F60">
        <v>389</v>
      </c>
      <c r="G60">
        <v>1</v>
      </c>
      <c r="H60" s="2">
        <v>44841</v>
      </c>
      <c r="I60">
        <v>20</v>
      </c>
      <c r="J60" t="s">
        <v>16</v>
      </c>
      <c r="K60" t="s">
        <v>24</v>
      </c>
    </row>
    <row r="61" spans="1:11">
      <c r="A61" s="1">
        <v>60</v>
      </c>
      <c r="B61">
        <v>67</v>
      </c>
      <c r="C61">
        <v>45</v>
      </c>
      <c r="D61" t="s">
        <v>21</v>
      </c>
      <c r="E61" t="s">
        <v>23</v>
      </c>
      <c r="F61">
        <v>752</v>
      </c>
      <c r="G61">
        <v>2</v>
      </c>
      <c r="H61" s="2">
        <v>44897</v>
      </c>
      <c r="I61">
        <v>50</v>
      </c>
      <c r="J61" t="s">
        <v>16</v>
      </c>
      <c r="K61" t="s">
        <v>30</v>
      </c>
    </row>
    <row r="62" spans="1:11">
      <c r="A62" s="1">
        <v>61</v>
      </c>
      <c r="B62">
        <v>44</v>
      </c>
      <c r="C62">
        <v>12</v>
      </c>
      <c r="D62" t="s">
        <v>18</v>
      </c>
      <c r="E62" t="s">
        <v>23</v>
      </c>
      <c r="F62">
        <v>981</v>
      </c>
      <c r="G62">
        <v>3</v>
      </c>
      <c r="H62" s="2">
        <v>44808</v>
      </c>
      <c r="I62">
        <v>23</v>
      </c>
      <c r="J62" t="s">
        <v>13</v>
      </c>
      <c r="K62" t="s">
        <v>22</v>
      </c>
    </row>
    <row r="63" spans="1:11">
      <c r="A63" s="1">
        <v>62</v>
      </c>
      <c r="B63">
        <v>125</v>
      </c>
      <c r="C63">
        <v>30</v>
      </c>
      <c r="D63" t="s">
        <v>15</v>
      </c>
      <c r="E63" t="s">
        <v>19</v>
      </c>
      <c r="F63">
        <v>141</v>
      </c>
      <c r="G63">
        <v>3</v>
      </c>
      <c r="H63" s="2">
        <v>44819</v>
      </c>
      <c r="I63">
        <v>27</v>
      </c>
      <c r="J63" t="s">
        <v>16</v>
      </c>
      <c r="K63" t="s">
        <v>24</v>
      </c>
    </row>
    <row r="64" spans="1:11">
      <c r="A64" s="1">
        <v>63</v>
      </c>
      <c r="B64">
        <v>58</v>
      </c>
      <c r="C64">
        <v>38</v>
      </c>
      <c r="D64" t="s">
        <v>26</v>
      </c>
      <c r="E64" t="s">
        <v>23</v>
      </c>
      <c r="F64">
        <v>301</v>
      </c>
      <c r="G64">
        <v>2</v>
      </c>
      <c r="H64" s="2">
        <v>44721</v>
      </c>
      <c r="I64">
        <v>22</v>
      </c>
      <c r="J64" t="s">
        <v>13</v>
      </c>
      <c r="K64" t="s">
        <v>30</v>
      </c>
    </row>
    <row r="65" spans="1:11">
      <c r="A65" s="1">
        <v>64</v>
      </c>
      <c r="B65">
        <v>3</v>
      </c>
      <c r="C65">
        <v>31</v>
      </c>
      <c r="D65" t="s">
        <v>21</v>
      </c>
      <c r="E65" t="s">
        <v>23</v>
      </c>
      <c r="F65">
        <v>84</v>
      </c>
      <c r="G65">
        <v>3</v>
      </c>
      <c r="H65" s="2">
        <v>44901</v>
      </c>
      <c r="I65">
        <v>40</v>
      </c>
      <c r="J65" t="s">
        <v>16</v>
      </c>
      <c r="K65" t="s">
        <v>14</v>
      </c>
    </row>
    <row r="66" spans="1:11">
      <c r="A66" s="1">
        <v>65</v>
      </c>
      <c r="B66">
        <v>86</v>
      </c>
      <c r="C66">
        <v>36</v>
      </c>
      <c r="D66" t="s">
        <v>31</v>
      </c>
      <c r="E66" t="s">
        <v>19</v>
      </c>
      <c r="F66">
        <v>102</v>
      </c>
      <c r="G66">
        <v>3</v>
      </c>
      <c r="H66" s="2">
        <v>44713</v>
      </c>
      <c r="I66">
        <v>27</v>
      </c>
      <c r="J66" t="s">
        <v>16</v>
      </c>
      <c r="K66" t="s">
        <v>17</v>
      </c>
    </row>
    <row r="67" spans="1:11">
      <c r="A67" s="1">
        <v>66</v>
      </c>
      <c r="B67">
        <v>70</v>
      </c>
      <c r="C67">
        <v>19</v>
      </c>
      <c r="D67" t="s">
        <v>11</v>
      </c>
      <c r="E67" t="s">
        <v>19</v>
      </c>
      <c r="F67">
        <v>865</v>
      </c>
      <c r="G67">
        <v>1</v>
      </c>
      <c r="H67" s="2">
        <v>44739</v>
      </c>
      <c r="I67">
        <v>61</v>
      </c>
      <c r="J67" t="s">
        <v>13</v>
      </c>
      <c r="K67" t="s">
        <v>22</v>
      </c>
    </row>
    <row r="68" spans="1:11">
      <c r="A68" s="1">
        <v>67</v>
      </c>
      <c r="B68">
        <v>130</v>
      </c>
      <c r="C68">
        <v>48</v>
      </c>
      <c r="D68" t="s">
        <v>27</v>
      </c>
      <c r="E68" t="s">
        <v>12</v>
      </c>
      <c r="F68">
        <v>437</v>
      </c>
      <c r="G68">
        <v>3</v>
      </c>
      <c r="H68" s="2">
        <v>44724</v>
      </c>
      <c r="I68">
        <v>19</v>
      </c>
      <c r="J68" t="s">
        <v>16</v>
      </c>
      <c r="K68" t="s">
        <v>17</v>
      </c>
    </row>
    <row r="69" spans="1:11">
      <c r="A69" s="1">
        <v>68</v>
      </c>
      <c r="B69">
        <v>172</v>
      </c>
      <c r="C69">
        <v>45</v>
      </c>
      <c r="D69" t="s">
        <v>31</v>
      </c>
      <c r="E69" t="s">
        <v>12</v>
      </c>
      <c r="F69">
        <v>992</v>
      </c>
      <c r="G69">
        <v>3</v>
      </c>
      <c r="H69" s="2">
        <v>44594</v>
      </c>
      <c r="I69">
        <v>30</v>
      </c>
      <c r="J69" t="s">
        <v>13</v>
      </c>
      <c r="K69" t="s">
        <v>22</v>
      </c>
    </row>
    <row r="70" spans="1:11">
      <c r="A70" s="1">
        <v>69</v>
      </c>
      <c r="B70">
        <v>2</v>
      </c>
      <c r="C70">
        <v>36</v>
      </c>
      <c r="D70" t="s">
        <v>26</v>
      </c>
      <c r="E70" t="s">
        <v>12</v>
      </c>
      <c r="F70">
        <v>981</v>
      </c>
      <c r="G70">
        <v>2</v>
      </c>
      <c r="H70" s="2">
        <v>44740</v>
      </c>
      <c r="I70">
        <v>57</v>
      </c>
      <c r="J70" t="s">
        <v>16</v>
      </c>
      <c r="K70" t="s">
        <v>17</v>
      </c>
    </row>
    <row r="71" spans="1:11">
      <c r="A71" s="1">
        <v>70</v>
      </c>
      <c r="B71">
        <v>102</v>
      </c>
      <c r="C71">
        <v>30</v>
      </c>
      <c r="D71" t="s">
        <v>18</v>
      </c>
      <c r="E71" t="s">
        <v>12</v>
      </c>
      <c r="F71">
        <v>774</v>
      </c>
      <c r="G71">
        <v>2</v>
      </c>
      <c r="H71" s="2">
        <v>44662</v>
      </c>
      <c r="I71">
        <v>19</v>
      </c>
      <c r="J71" t="s">
        <v>13</v>
      </c>
      <c r="K71" t="s">
        <v>22</v>
      </c>
    </row>
    <row r="72" spans="1:11">
      <c r="A72" s="1">
        <v>71</v>
      </c>
      <c r="B72">
        <v>35</v>
      </c>
      <c r="C72">
        <v>49</v>
      </c>
      <c r="D72" t="s">
        <v>26</v>
      </c>
      <c r="E72" t="s">
        <v>19</v>
      </c>
      <c r="F72">
        <v>558</v>
      </c>
      <c r="G72">
        <v>4</v>
      </c>
      <c r="H72" s="2">
        <v>44829</v>
      </c>
      <c r="I72">
        <v>37</v>
      </c>
      <c r="J72" t="s">
        <v>13</v>
      </c>
      <c r="K72" t="s">
        <v>17</v>
      </c>
    </row>
    <row r="73" spans="1:11">
      <c r="A73" s="1">
        <v>72</v>
      </c>
      <c r="B73">
        <v>98</v>
      </c>
      <c r="C73">
        <v>33</v>
      </c>
      <c r="D73" t="s">
        <v>27</v>
      </c>
      <c r="E73" t="s">
        <v>19</v>
      </c>
      <c r="F73">
        <v>871</v>
      </c>
      <c r="G73">
        <v>1</v>
      </c>
      <c r="H73" s="2">
        <v>44884</v>
      </c>
      <c r="I73">
        <v>18</v>
      </c>
      <c r="J73" t="s">
        <v>16</v>
      </c>
      <c r="K73" t="s">
        <v>17</v>
      </c>
    </row>
    <row r="74" spans="1:11">
      <c r="A74" s="1">
        <v>73</v>
      </c>
      <c r="B74">
        <v>30</v>
      </c>
      <c r="C74">
        <v>18</v>
      </c>
      <c r="D74" t="s">
        <v>11</v>
      </c>
      <c r="E74" t="s">
        <v>19</v>
      </c>
      <c r="F74">
        <v>51</v>
      </c>
      <c r="G74">
        <v>3</v>
      </c>
      <c r="H74" s="2">
        <v>44626</v>
      </c>
      <c r="I74">
        <v>54</v>
      </c>
      <c r="J74" t="s">
        <v>13</v>
      </c>
      <c r="K74" t="s">
        <v>17</v>
      </c>
    </row>
    <row r="75" spans="1:11">
      <c r="A75" s="1">
        <v>74</v>
      </c>
      <c r="B75">
        <v>116</v>
      </c>
      <c r="C75">
        <v>49</v>
      </c>
      <c r="D75" t="s">
        <v>27</v>
      </c>
      <c r="E75" t="s">
        <v>23</v>
      </c>
      <c r="F75">
        <v>211</v>
      </c>
      <c r="G75">
        <v>3</v>
      </c>
      <c r="H75" s="2">
        <v>44729</v>
      </c>
      <c r="I75">
        <v>26</v>
      </c>
      <c r="J75" t="s">
        <v>16</v>
      </c>
      <c r="K75" t="s">
        <v>17</v>
      </c>
    </row>
    <row r="76" spans="1:11">
      <c r="A76" s="1">
        <v>75</v>
      </c>
      <c r="B76">
        <v>8</v>
      </c>
      <c r="C76">
        <v>28</v>
      </c>
      <c r="D76" t="s">
        <v>29</v>
      </c>
      <c r="E76" t="s">
        <v>12</v>
      </c>
      <c r="F76">
        <v>947</v>
      </c>
      <c r="G76">
        <v>4</v>
      </c>
      <c r="H76" s="2">
        <v>44891</v>
      </c>
      <c r="I76">
        <v>34</v>
      </c>
      <c r="J76" t="s">
        <v>16</v>
      </c>
      <c r="K76" t="s">
        <v>14</v>
      </c>
    </row>
    <row r="77" spans="1:11">
      <c r="A77" s="1">
        <v>76</v>
      </c>
      <c r="B77">
        <v>150</v>
      </c>
      <c r="C77">
        <v>47</v>
      </c>
      <c r="D77" t="s">
        <v>11</v>
      </c>
      <c r="E77" t="s">
        <v>19</v>
      </c>
      <c r="F77">
        <v>769</v>
      </c>
      <c r="G77">
        <v>3</v>
      </c>
      <c r="H77" s="2">
        <v>44604</v>
      </c>
      <c r="I77">
        <v>26</v>
      </c>
      <c r="J77" t="s">
        <v>16</v>
      </c>
      <c r="K77" t="s">
        <v>24</v>
      </c>
    </row>
    <row r="78" spans="1:11">
      <c r="A78" s="1">
        <v>77</v>
      </c>
      <c r="B78">
        <v>44</v>
      </c>
      <c r="C78">
        <v>11</v>
      </c>
      <c r="D78" t="s">
        <v>26</v>
      </c>
      <c r="E78" t="s">
        <v>19</v>
      </c>
      <c r="F78">
        <v>155</v>
      </c>
      <c r="G78">
        <v>1</v>
      </c>
      <c r="H78" s="2">
        <v>44605</v>
      </c>
      <c r="I78">
        <v>28</v>
      </c>
      <c r="J78" t="s">
        <v>13</v>
      </c>
      <c r="K78" t="s">
        <v>20</v>
      </c>
    </row>
    <row r="79" spans="1:11">
      <c r="A79" s="1">
        <v>78</v>
      </c>
      <c r="B79">
        <v>186</v>
      </c>
      <c r="C79">
        <v>45</v>
      </c>
      <c r="D79" t="s">
        <v>21</v>
      </c>
      <c r="E79" t="s">
        <v>12</v>
      </c>
      <c r="F79">
        <v>395</v>
      </c>
      <c r="G79">
        <v>4</v>
      </c>
      <c r="H79" s="2">
        <v>44846</v>
      </c>
      <c r="I79">
        <v>32</v>
      </c>
      <c r="J79" t="s">
        <v>13</v>
      </c>
      <c r="K79" t="s">
        <v>30</v>
      </c>
    </row>
    <row r="80" spans="1:11">
      <c r="A80" s="1">
        <v>79</v>
      </c>
      <c r="B80">
        <v>36</v>
      </c>
      <c r="C80">
        <v>33</v>
      </c>
      <c r="D80" t="s">
        <v>26</v>
      </c>
      <c r="E80" t="s">
        <v>23</v>
      </c>
      <c r="F80">
        <v>615</v>
      </c>
      <c r="G80">
        <v>1</v>
      </c>
      <c r="H80" s="2">
        <v>44573</v>
      </c>
      <c r="I80">
        <v>41</v>
      </c>
      <c r="J80" t="s">
        <v>16</v>
      </c>
      <c r="K80" t="s">
        <v>20</v>
      </c>
    </row>
    <row r="81" spans="1:11">
      <c r="A81" s="1">
        <v>80</v>
      </c>
      <c r="B81">
        <v>197</v>
      </c>
      <c r="C81">
        <v>17</v>
      </c>
      <c r="D81" t="s">
        <v>26</v>
      </c>
      <c r="E81" t="s">
        <v>19</v>
      </c>
      <c r="F81">
        <v>505</v>
      </c>
      <c r="G81">
        <v>4</v>
      </c>
      <c r="H81" s="2">
        <v>44656</v>
      </c>
      <c r="I81">
        <v>55</v>
      </c>
      <c r="J81" t="s">
        <v>16</v>
      </c>
      <c r="K81" t="s">
        <v>20</v>
      </c>
    </row>
    <row r="82" spans="1:11">
      <c r="A82" s="1">
        <v>81</v>
      </c>
      <c r="B82">
        <v>77</v>
      </c>
      <c r="C82">
        <v>6</v>
      </c>
      <c r="D82" t="s">
        <v>11</v>
      </c>
      <c r="E82" t="s">
        <v>12</v>
      </c>
      <c r="F82">
        <v>504</v>
      </c>
      <c r="G82">
        <v>4</v>
      </c>
      <c r="H82" s="2">
        <v>44863</v>
      </c>
      <c r="I82">
        <v>52</v>
      </c>
      <c r="J82" t="s">
        <v>13</v>
      </c>
      <c r="K82" t="s">
        <v>22</v>
      </c>
    </row>
    <row r="83" spans="1:11">
      <c r="A83" s="1">
        <v>82</v>
      </c>
      <c r="B83">
        <v>31</v>
      </c>
      <c r="C83">
        <v>4</v>
      </c>
      <c r="D83" t="s">
        <v>29</v>
      </c>
      <c r="E83" t="s">
        <v>23</v>
      </c>
      <c r="F83">
        <v>416</v>
      </c>
      <c r="G83">
        <v>2</v>
      </c>
      <c r="H83" s="2">
        <v>44814</v>
      </c>
      <c r="I83">
        <v>47</v>
      </c>
      <c r="J83" t="s">
        <v>16</v>
      </c>
      <c r="K83" t="s">
        <v>24</v>
      </c>
    </row>
    <row r="84" spans="1:11">
      <c r="A84" s="1">
        <v>83</v>
      </c>
      <c r="B84">
        <v>47</v>
      </c>
      <c r="C84">
        <v>20</v>
      </c>
      <c r="D84" t="s">
        <v>26</v>
      </c>
      <c r="E84" t="s">
        <v>19</v>
      </c>
      <c r="F84">
        <v>255</v>
      </c>
      <c r="G84">
        <v>1</v>
      </c>
      <c r="H84" s="2">
        <v>44803</v>
      </c>
      <c r="I84">
        <v>48</v>
      </c>
      <c r="J84" t="s">
        <v>16</v>
      </c>
      <c r="K84" t="s">
        <v>22</v>
      </c>
    </row>
    <row r="85" spans="1:11">
      <c r="A85" s="1">
        <v>84</v>
      </c>
      <c r="B85">
        <v>55</v>
      </c>
      <c r="C85">
        <v>48</v>
      </c>
      <c r="D85" t="s">
        <v>31</v>
      </c>
      <c r="E85" t="s">
        <v>19</v>
      </c>
      <c r="F85">
        <v>614</v>
      </c>
      <c r="G85">
        <v>3</v>
      </c>
      <c r="H85" s="2">
        <v>44596</v>
      </c>
      <c r="I85">
        <v>22</v>
      </c>
      <c r="J85" t="s">
        <v>13</v>
      </c>
      <c r="K85" t="s">
        <v>24</v>
      </c>
    </row>
    <row r="86" spans="1:11">
      <c r="A86" s="1">
        <v>85</v>
      </c>
      <c r="B86">
        <v>106</v>
      </c>
      <c r="C86">
        <v>47</v>
      </c>
      <c r="D86" t="s">
        <v>25</v>
      </c>
      <c r="E86" t="s">
        <v>12</v>
      </c>
      <c r="F86">
        <v>971</v>
      </c>
      <c r="G86">
        <v>3</v>
      </c>
      <c r="H86" s="2">
        <v>44776</v>
      </c>
      <c r="I86">
        <v>61</v>
      </c>
      <c r="J86" t="s">
        <v>16</v>
      </c>
      <c r="K86" t="s">
        <v>24</v>
      </c>
    </row>
    <row r="87" spans="1:11">
      <c r="A87" s="1">
        <v>86</v>
      </c>
      <c r="B87">
        <v>190</v>
      </c>
      <c r="C87">
        <v>27</v>
      </c>
      <c r="D87" t="s">
        <v>28</v>
      </c>
      <c r="E87" t="s">
        <v>19</v>
      </c>
      <c r="F87">
        <v>981</v>
      </c>
      <c r="G87">
        <v>1</v>
      </c>
      <c r="H87" s="2">
        <v>44898</v>
      </c>
      <c r="I87">
        <v>31</v>
      </c>
      <c r="J87" t="s">
        <v>13</v>
      </c>
      <c r="K87" t="s">
        <v>17</v>
      </c>
    </row>
    <row r="88" spans="1:11">
      <c r="A88" s="1">
        <v>87</v>
      </c>
      <c r="B88">
        <v>158</v>
      </c>
      <c r="C88">
        <v>15</v>
      </c>
      <c r="D88" t="s">
        <v>28</v>
      </c>
      <c r="E88" t="s">
        <v>19</v>
      </c>
      <c r="F88">
        <v>437</v>
      </c>
      <c r="G88">
        <v>3</v>
      </c>
      <c r="H88" s="2">
        <v>44651</v>
      </c>
      <c r="I88">
        <v>28</v>
      </c>
      <c r="J88" t="s">
        <v>16</v>
      </c>
      <c r="K88" t="s">
        <v>14</v>
      </c>
    </row>
    <row r="89" spans="1:11">
      <c r="A89" s="1">
        <v>88</v>
      </c>
      <c r="B89">
        <v>121</v>
      </c>
      <c r="C89">
        <v>6</v>
      </c>
      <c r="D89" t="s">
        <v>26</v>
      </c>
      <c r="E89" t="s">
        <v>23</v>
      </c>
      <c r="F89">
        <v>921</v>
      </c>
      <c r="G89">
        <v>3</v>
      </c>
      <c r="H89" s="2">
        <v>44825</v>
      </c>
      <c r="I89">
        <v>26</v>
      </c>
      <c r="J89" t="s">
        <v>13</v>
      </c>
      <c r="K89" t="s">
        <v>17</v>
      </c>
    </row>
    <row r="90" spans="1:11">
      <c r="A90" s="1">
        <v>89</v>
      </c>
      <c r="B90">
        <v>55</v>
      </c>
      <c r="C90">
        <v>47</v>
      </c>
      <c r="D90" t="s">
        <v>31</v>
      </c>
      <c r="E90" t="s">
        <v>12</v>
      </c>
      <c r="F90">
        <v>981</v>
      </c>
      <c r="G90">
        <v>1</v>
      </c>
      <c r="H90" s="2">
        <v>44654</v>
      </c>
      <c r="I90">
        <v>51</v>
      </c>
      <c r="J90" t="s">
        <v>16</v>
      </c>
      <c r="K90" t="s">
        <v>14</v>
      </c>
    </row>
    <row r="91" spans="1:11">
      <c r="A91" s="1">
        <v>90</v>
      </c>
      <c r="B91">
        <v>144</v>
      </c>
      <c r="C91">
        <v>14</v>
      </c>
      <c r="D91" t="s">
        <v>21</v>
      </c>
      <c r="E91" t="s">
        <v>12</v>
      </c>
      <c r="F91">
        <v>504</v>
      </c>
      <c r="G91">
        <v>4</v>
      </c>
      <c r="H91" s="2">
        <v>44651</v>
      </c>
      <c r="I91">
        <v>29</v>
      </c>
      <c r="J91" t="s">
        <v>16</v>
      </c>
      <c r="K91" t="s">
        <v>22</v>
      </c>
    </row>
    <row r="92" spans="1:11">
      <c r="A92" s="1">
        <v>91</v>
      </c>
      <c r="B92">
        <v>12</v>
      </c>
      <c r="C92">
        <v>11</v>
      </c>
      <c r="D92" t="s">
        <v>18</v>
      </c>
      <c r="E92" t="s">
        <v>23</v>
      </c>
      <c r="F92">
        <v>319</v>
      </c>
      <c r="G92">
        <v>1</v>
      </c>
      <c r="H92" s="2">
        <v>44676</v>
      </c>
      <c r="I92">
        <v>52</v>
      </c>
      <c r="J92" t="s">
        <v>13</v>
      </c>
      <c r="K92" t="s">
        <v>14</v>
      </c>
    </row>
    <row r="93" spans="1:11">
      <c r="A93" s="1">
        <v>92</v>
      </c>
      <c r="B93">
        <v>145</v>
      </c>
      <c r="C93">
        <v>39</v>
      </c>
      <c r="D93" t="s">
        <v>18</v>
      </c>
      <c r="E93" t="s">
        <v>23</v>
      </c>
      <c r="F93">
        <v>841</v>
      </c>
      <c r="G93">
        <v>4</v>
      </c>
      <c r="H93" s="2">
        <v>44666</v>
      </c>
      <c r="I93">
        <v>52</v>
      </c>
      <c r="J93" t="s">
        <v>16</v>
      </c>
      <c r="K93" t="s">
        <v>22</v>
      </c>
    </row>
    <row r="94" spans="1:11">
      <c r="A94" s="1">
        <v>93</v>
      </c>
      <c r="B94">
        <v>144</v>
      </c>
      <c r="C94">
        <v>9</v>
      </c>
      <c r="D94" t="s">
        <v>11</v>
      </c>
      <c r="E94" t="s">
        <v>19</v>
      </c>
      <c r="F94">
        <v>992</v>
      </c>
      <c r="G94">
        <v>3</v>
      </c>
      <c r="H94" s="2">
        <v>44757</v>
      </c>
      <c r="I94">
        <v>18</v>
      </c>
      <c r="J94" t="s">
        <v>13</v>
      </c>
      <c r="K94" t="s">
        <v>20</v>
      </c>
    </row>
    <row r="95" spans="1:11">
      <c r="A95" s="1">
        <v>94</v>
      </c>
      <c r="B95">
        <v>140</v>
      </c>
      <c r="C95">
        <v>26</v>
      </c>
      <c r="D95" t="s">
        <v>28</v>
      </c>
      <c r="E95" t="s">
        <v>19</v>
      </c>
      <c r="F95">
        <v>825</v>
      </c>
      <c r="G95">
        <v>3</v>
      </c>
      <c r="H95" s="2">
        <v>44875</v>
      </c>
      <c r="I95">
        <v>57</v>
      </c>
      <c r="J95" t="s">
        <v>16</v>
      </c>
      <c r="K95" t="s">
        <v>20</v>
      </c>
    </row>
    <row r="96" spans="1:11">
      <c r="A96" s="1">
        <v>95</v>
      </c>
      <c r="B96">
        <v>136</v>
      </c>
      <c r="C96">
        <v>16</v>
      </c>
      <c r="D96" t="s">
        <v>26</v>
      </c>
      <c r="E96" t="s">
        <v>19</v>
      </c>
      <c r="F96">
        <v>389</v>
      </c>
      <c r="G96">
        <v>3</v>
      </c>
      <c r="H96" s="2">
        <v>44675</v>
      </c>
      <c r="I96">
        <v>39</v>
      </c>
      <c r="J96" t="s">
        <v>13</v>
      </c>
      <c r="K96" t="s">
        <v>14</v>
      </c>
    </row>
    <row r="97" spans="1:11">
      <c r="A97" s="1">
        <v>96</v>
      </c>
      <c r="B97">
        <v>3</v>
      </c>
      <c r="C97">
        <v>5</v>
      </c>
      <c r="D97" t="s">
        <v>18</v>
      </c>
      <c r="E97" t="s">
        <v>12</v>
      </c>
      <c r="F97">
        <v>752</v>
      </c>
      <c r="G97">
        <v>2</v>
      </c>
      <c r="H97" s="2">
        <v>44636</v>
      </c>
      <c r="I97">
        <v>46</v>
      </c>
      <c r="J97" t="s">
        <v>13</v>
      </c>
      <c r="K97" t="s">
        <v>14</v>
      </c>
    </row>
    <row r="98" spans="1:11">
      <c r="A98" s="1">
        <v>97</v>
      </c>
      <c r="B98">
        <v>144</v>
      </c>
      <c r="C98">
        <v>10</v>
      </c>
      <c r="D98" t="s">
        <v>26</v>
      </c>
      <c r="E98" t="s">
        <v>19</v>
      </c>
      <c r="F98">
        <v>992</v>
      </c>
      <c r="G98">
        <v>4</v>
      </c>
      <c r="H98" s="2">
        <v>44778</v>
      </c>
      <c r="I98">
        <v>25</v>
      </c>
      <c r="J98" t="s">
        <v>13</v>
      </c>
      <c r="K98" t="s">
        <v>22</v>
      </c>
    </row>
    <row r="99" spans="1:11">
      <c r="A99" s="1">
        <v>98</v>
      </c>
      <c r="B99">
        <v>30</v>
      </c>
      <c r="C99">
        <v>50</v>
      </c>
      <c r="D99" t="s">
        <v>11</v>
      </c>
      <c r="E99" t="s">
        <v>23</v>
      </c>
      <c r="F99">
        <v>611</v>
      </c>
      <c r="G99">
        <v>2</v>
      </c>
      <c r="H99" s="2">
        <v>44838</v>
      </c>
      <c r="I99">
        <v>28</v>
      </c>
      <c r="J99" t="s">
        <v>13</v>
      </c>
      <c r="K99" t="s">
        <v>17</v>
      </c>
    </row>
    <row r="100" spans="1:11">
      <c r="A100" s="1">
        <v>99</v>
      </c>
      <c r="B100">
        <v>23</v>
      </c>
      <c r="C100">
        <v>3</v>
      </c>
      <c r="D100" t="s">
        <v>28</v>
      </c>
      <c r="E100" t="s">
        <v>19</v>
      </c>
      <c r="F100">
        <v>141</v>
      </c>
      <c r="G100">
        <v>2</v>
      </c>
      <c r="H100" s="2">
        <v>44810</v>
      </c>
      <c r="I100">
        <v>58</v>
      </c>
      <c r="J100" t="s">
        <v>16</v>
      </c>
      <c r="K100" t="s">
        <v>22</v>
      </c>
    </row>
    <row r="101" spans="1:11">
      <c r="A101" s="1">
        <v>100</v>
      </c>
      <c r="B101">
        <v>92</v>
      </c>
      <c r="C101">
        <v>13</v>
      </c>
      <c r="D101" t="s">
        <v>27</v>
      </c>
      <c r="E101" t="s">
        <v>23</v>
      </c>
      <c r="F101">
        <v>319</v>
      </c>
      <c r="G101">
        <v>1</v>
      </c>
      <c r="H101" s="2">
        <v>44725</v>
      </c>
      <c r="I101">
        <v>54</v>
      </c>
      <c r="J101" t="s">
        <v>16</v>
      </c>
      <c r="K101" t="s">
        <v>17</v>
      </c>
    </row>
    <row r="102" spans="1:11">
      <c r="A102" s="1">
        <v>101</v>
      </c>
      <c r="B102">
        <v>115</v>
      </c>
      <c r="C102">
        <v>43</v>
      </c>
      <c r="D102" t="s">
        <v>25</v>
      </c>
      <c r="E102" t="s">
        <v>19</v>
      </c>
      <c r="F102">
        <v>389</v>
      </c>
      <c r="G102">
        <v>2</v>
      </c>
      <c r="H102" s="2">
        <v>44918</v>
      </c>
      <c r="I102">
        <v>31</v>
      </c>
      <c r="J102" t="s">
        <v>13</v>
      </c>
      <c r="K102" t="s">
        <v>20</v>
      </c>
    </row>
    <row r="103" spans="1:11">
      <c r="A103" s="1">
        <v>102</v>
      </c>
      <c r="B103">
        <v>104</v>
      </c>
      <c r="C103">
        <v>49</v>
      </c>
      <c r="D103" t="s">
        <v>25</v>
      </c>
      <c r="E103" t="s">
        <v>23</v>
      </c>
      <c r="F103">
        <v>451</v>
      </c>
      <c r="G103">
        <v>1</v>
      </c>
      <c r="H103" s="2">
        <v>44753</v>
      </c>
      <c r="I103">
        <v>47</v>
      </c>
      <c r="J103" t="s">
        <v>13</v>
      </c>
      <c r="K103" t="s">
        <v>24</v>
      </c>
    </row>
    <row r="104" spans="1:11">
      <c r="A104" s="1">
        <v>103</v>
      </c>
      <c r="B104">
        <v>118</v>
      </c>
      <c r="C104">
        <v>30</v>
      </c>
      <c r="D104" t="s">
        <v>18</v>
      </c>
      <c r="E104" t="s">
        <v>19</v>
      </c>
      <c r="F104">
        <v>255</v>
      </c>
      <c r="G104">
        <v>1</v>
      </c>
      <c r="H104" s="2">
        <v>44788</v>
      </c>
      <c r="I104">
        <v>52</v>
      </c>
      <c r="J104" t="s">
        <v>13</v>
      </c>
      <c r="K104" t="s">
        <v>14</v>
      </c>
    </row>
    <row r="105" spans="1:11">
      <c r="A105" s="1">
        <v>104</v>
      </c>
      <c r="B105">
        <v>5</v>
      </c>
      <c r="C105">
        <v>45</v>
      </c>
      <c r="D105" t="s">
        <v>25</v>
      </c>
      <c r="E105" t="s">
        <v>19</v>
      </c>
      <c r="F105">
        <v>389</v>
      </c>
      <c r="G105">
        <v>2</v>
      </c>
      <c r="H105" s="2">
        <v>44738</v>
      </c>
      <c r="I105">
        <v>38</v>
      </c>
      <c r="J105" t="s">
        <v>16</v>
      </c>
      <c r="K105" t="s">
        <v>17</v>
      </c>
    </row>
    <row r="106" spans="1:11">
      <c r="A106" s="1">
        <v>105</v>
      </c>
      <c r="B106">
        <v>104</v>
      </c>
      <c r="C106">
        <v>6</v>
      </c>
      <c r="D106" t="s">
        <v>27</v>
      </c>
      <c r="E106" t="s">
        <v>12</v>
      </c>
      <c r="F106">
        <v>319</v>
      </c>
      <c r="G106">
        <v>4</v>
      </c>
      <c r="H106" s="2">
        <v>44660</v>
      </c>
      <c r="I106">
        <v>54</v>
      </c>
      <c r="J106" t="s">
        <v>16</v>
      </c>
      <c r="K106" t="s">
        <v>22</v>
      </c>
    </row>
    <row r="107" spans="1:11">
      <c r="A107" s="1">
        <v>106</v>
      </c>
      <c r="B107">
        <v>108</v>
      </c>
      <c r="C107">
        <v>17</v>
      </c>
      <c r="D107" t="s">
        <v>26</v>
      </c>
      <c r="E107" t="s">
        <v>23</v>
      </c>
      <c r="F107">
        <v>971</v>
      </c>
      <c r="G107">
        <v>4</v>
      </c>
      <c r="H107" s="2">
        <v>44597</v>
      </c>
      <c r="I107">
        <v>22</v>
      </c>
      <c r="J107" t="s">
        <v>16</v>
      </c>
      <c r="K107" t="s">
        <v>20</v>
      </c>
    </row>
    <row r="108" spans="1:11">
      <c r="A108" s="1">
        <v>107</v>
      </c>
      <c r="B108">
        <v>65</v>
      </c>
      <c r="C108">
        <v>45</v>
      </c>
      <c r="D108" t="s">
        <v>11</v>
      </c>
      <c r="E108" t="s">
        <v>12</v>
      </c>
      <c r="F108">
        <v>102</v>
      </c>
      <c r="G108">
        <v>4</v>
      </c>
      <c r="H108" s="2">
        <v>44657</v>
      </c>
      <c r="I108">
        <v>36</v>
      </c>
      <c r="J108" t="s">
        <v>16</v>
      </c>
      <c r="K108" t="s">
        <v>17</v>
      </c>
    </row>
    <row r="109" spans="1:11">
      <c r="A109" s="1">
        <v>108</v>
      </c>
      <c r="B109">
        <v>121</v>
      </c>
      <c r="C109">
        <v>19</v>
      </c>
      <c r="D109" t="s">
        <v>27</v>
      </c>
      <c r="E109" t="s">
        <v>19</v>
      </c>
      <c r="F109">
        <v>751</v>
      </c>
      <c r="G109">
        <v>4</v>
      </c>
      <c r="H109" s="2">
        <v>44713</v>
      </c>
      <c r="I109">
        <v>31</v>
      </c>
      <c r="J109" t="s">
        <v>13</v>
      </c>
      <c r="K109" t="s">
        <v>22</v>
      </c>
    </row>
    <row r="110" spans="1:11">
      <c r="A110" s="1">
        <v>109</v>
      </c>
      <c r="B110">
        <v>30</v>
      </c>
      <c r="C110">
        <v>42</v>
      </c>
      <c r="D110" t="s">
        <v>11</v>
      </c>
      <c r="E110" t="s">
        <v>19</v>
      </c>
      <c r="F110">
        <v>437</v>
      </c>
      <c r="G110">
        <v>4</v>
      </c>
      <c r="H110" s="2">
        <v>44712</v>
      </c>
      <c r="I110">
        <v>43</v>
      </c>
      <c r="J110" t="s">
        <v>13</v>
      </c>
      <c r="K110" t="s">
        <v>14</v>
      </c>
    </row>
    <row r="111" spans="1:11">
      <c r="A111" s="1">
        <v>110</v>
      </c>
      <c r="B111">
        <v>149</v>
      </c>
      <c r="C111">
        <v>35</v>
      </c>
      <c r="D111" t="s">
        <v>11</v>
      </c>
      <c r="E111" t="s">
        <v>23</v>
      </c>
      <c r="F111">
        <v>615</v>
      </c>
      <c r="G111">
        <v>2</v>
      </c>
      <c r="H111" s="2">
        <v>44751</v>
      </c>
      <c r="I111">
        <v>21</v>
      </c>
      <c r="J111" t="s">
        <v>13</v>
      </c>
      <c r="K111" t="s">
        <v>14</v>
      </c>
    </row>
    <row r="112" spans="1:11">
      <c r="A112" s="1">
        <v>111</v>
      </c>
      <c r="B112">
        <v>84</v>
      </c>
      <c r="C112">
        <v>46</v>
      </c>
      <c r="D112" t="s">
        <v>28</v>
      </c>
      <c r="E112" t="s">
        <v>19</v>
      </c>
      <c r="F112">
        <v>389</v>
      </c>
      <c r="G112">
        <v>2</v>
      </c>
      <c r="H112" s="2">
        <v>44785</v>
      </c>
      <c r="I112">
        <v>42</v>
      </c>
      <c r="J112" t="s">
        <v>16</v>
      </c>
      <c r="K112" t="s">
        <v>30</v>
      </c>
    </row>
    <row r="113" spans="1:11">
      <c r="A113" s="1">
        <v>112</v>
      </c>
      <c r="B113">
        <v>198</v>
      </c>
      <c r="C113">
        <v>26</v>
      </c>
      <c r="D113" t="s">
        <v>26</v>
      </c>
      <c r="E113" t="s">
        <v>12</v>
      </c>
      <c r="F113">
        <v>395</v>
      </c>
      <c r="G113">
        <v>3</v>
      </c>
      <c r="H113" s="2">
        <v>44598</v>
      </c>
      <c r="I113">
        <v>62</v>
      </c>
      <c r="J113" t="s">
        <v>16</v>
      </c>
      <c r="K113" t="s">
        <v>24</v>
      </c>
    </row>
    <row r="114" spans="1:11">
      <c r="A114" s="1">
        <v>113</v>
      </c>
      <c r="B114">
        <v>150</v>
      </c>
      <c r="C114">
        <v>5</v>
      </c>
      <c r="D114" t="s">
        <v>31</v>
      </c>
      <c r="E114" t="s">
        <v>23</v>
      </c>
      <c r="F114">
        <v>605</v>
      </c>
      <c r="G114">
        <v>4</v>
      </c>
      <c r="H114" s="2">
        <v>44829</v>
      </c>
      <c r="I114">
        <v>59</v>
      </c>
      <c r="J114" t="s">
        <v>16</v>
      </c>
      <c r="K114" t="s">
        <v>30</v>
      </c>
    </row>
    <row r="115" spans="1:11">
      <c r="A115" s="1">
        <v>114</v>
      </c>
      <c r="B115">
        <v>200</v>
      </c>
      <c r="C115">
        <v>29</v>
      </c>
      <c r="D115" t="s">
        <v>25</v>
      </c>
      <c r="E115" t="s">
        <v>23</v>
      </c>
      <c r="F115">
        <v>928</v>
      </c>
      <c r="G115">
        <v>2</v>
      </c>
      <c r="H115" s="2">
        <v>44744</v>
      </c>
      <c r="I115">
        <v>42</v>
      </c>
      <c r="J115" t="s">
        <v>13</v>
      </c>
      <c r="K115" t="s">
        <v>20</v>
      </c>
    </row>
    <row r="116" spans="1:11">
      <c r="A116" s="1">
        <v>115</v>
      </c>
      <c r="B116">
        <v>32</v>
      </c>
      <c r="C116">
        <v>37</v>
      </c>
      <c r="D116" t="s">
        <v>31</v>
      </c>
      <c r="E116" t="s">
        <v>19</v>
      </c>
      <c r="F116">
        <v>776</v>
      </c>
      <c r="G116">
        <v>3</v>
      </c>
      <c r="H116" s="2">
        <v>44574</v>
      </c>
      <c r="I116">
        <v>35</v>
      </c>
      <c r="J116" t="s">
        <v>13</v>
      </c>
      <c r="K116" t="s">
        <v>17</v>
      </c>
    </row>
    <row r="117" spans="1:11">
      <c r="A117" s="1">
        <v>116</v>
      </c>
      <c r="B117">
        <v>161</v>
      </c>
      <c r="C117">
        <v>20</v>
      </c>
      <c r="D117" t="s">
        <v>28</v>
      </c>
      <c r="E117" t="s">
        <v>19</v>
      </c>
      <c r="F117">
        <v>947</v>
      </c>
      <c r="G117">
        <v>4</v>
      </c>
      <c r="H117" s="2">
        <v>44840</v>
      </c>
      <c r="I117">
        <v>57</v>
      </c>
      <c r="J117" t="s">
        <v>16</v>
      </c>
      <c r="K117" t="s">
        <v>20</v>
      </c>
    </row>
    <row r="118" spans="1:11">
      <c r="A118" s="1">
        <v>117</v>
      </c>
      <c r="B118">
        <v>16</v>
      </c>
      <c r="C118">
        <v>49</v>
      </c>
      <c r="D118" t="s">
        <v>11</v>
      </c>
      <c r="E118" t="s">
        <v>19</v>
      </c>
      <c r="F118">
        <v>319</v>
      </c>
      <c r="G118">
        <v>1</v>
      </c>
      <c r="H118" s="2">
        <v>44778</v>
      </c>
      <c r="I118">
        <v>25</v>
      </c>
      <c r="J118" t="s">
        <v>13</v>
      </c>
      <c r="K118" t="s">
        <v>22</v>
      </c>
    </row>
    <row r="119" spans="1:11">
      <c r="A119" s="1">
        <v>118</v>
      </c>
      <c r="B119">
        <v>38</v>
      </c>
      <c r="C119">
        <v>21</v>
      </c>
      <c r="D119" t="s">
        <v>18</v>
      </c>
      <c r="E119" t="s">
        <v>12</v>
      </c>
      <c r="F119">
        <v>84</v>
      </c>
      <c r="G119">
        <v>3</v>
      </c>
      <c r="H119" s="2">
        <v>44916</v>
      </c>
      <c r="I119">
        <v>56</v>
      </c>
      <c r="J119" t="s">
        <v>16</v>
      </c>
      <c r="K119" t="s">
        <v>14</v>
      </c>
    </row>
    <row r="120" spans="1:11">
      <c r="A120" s="1">
        <v>119</v>
      </c>
      <c r="B120">
        <v>142</v>
      </c>
      <c r="C120">
        <v>10</v>
      </c>
      <c r="D120" t="s">
        <v>25</v>
      </c>
      <c r="E120" t="s">
        <v>19</v>
      </c>
      <c r="F120">
        <v>51</v>
      </c>
      <c r="G120">
        <v>2</v>
      </c>
      <c r="H120" s="2">
        <v>44922</v>
      </c>
      <c r="I120">
        <v>57</v>
      </c>
      <c r="J120" t="s">
        <v>16</v>
      </c>
      <c r="K120" t="s">
        <v>30</v>
      </c>
    </row>
    <row r="121" spans="1:11">
      <c r="A121" s="1">
        <v>120</v>
      </c>
      <c r="B121">
        <v>36</v>
      </c>
      <c r="C121">
        <v>5</v>
      </c>
      <c r="D121" t="s">
        <v>25</v>
      </c>
      <c r="E121" t="s">
        <v>23</v>
      </c>
      <c r="F121">
        <v>416</v>
      </c>
      <c r="G121">
        <v>1</v>
      </c>
      <c r="H121" s="2">
        <v>44847</v>
      </c>
      <c r="I121">
        <v>31</v>
      </c>
      <c r="J121" t="s">
        <v>13</v>
      </c>
      <c r="K121" t="s">
        <v>30</v>
      </c>
    </row>
    <row r="122" spans="1:11">
      <c r="A122" s="1">
        <v>121</v>
      </c>
      <c r="B122">
        <v>151</v>
      </c>
      <c r="C122">
        <v>36</v>
      </c>
      <c r="D122" t="s">
        <v>26</v>
      </c>
      <c r="E122" t="s">
        <v>19</v>
      </c>
      <c r="F122">
        <v>130</v>
      </c>
      <c r="G122">
        <v>1</v>
      </c>
      <c r="H122" s="2">
        <v>44834</v>
      </c>
      <c r="I122">
        <v>49</v>
      </c>
      <c r="J122" t="s">
        <v>16</v>
      </c>
      <c r="K122" t="s">
        <v>30</v>
      </c>
    </row>
    <row r="123" spans="1:11">
      <c r="A123" s="1">
        <v>122</v>
      </c>
      <c r="B123">
        <v>114</v>
      </c>
      <c r="C123">
        <v>6</v>
      </c>
      <c r="D123" t="s">
        <v>29</v>
      </c>
      <c r="E123" t="s">
        <v>12</v>
      </c>
      <c r="F123">
        <v>155</v>
      </c>
      <c r="G123">
        <v>1</v>
      </c>
      <c r="H123" s="2">
        <v>44623</v>
      </c>
      <c r="I123">
        <v>55</v>
      </c>
      <c r="J123" t="s">
        <v>13</v>
      </c>
      <c r="K123" t="s">
        <v>20</v>
      </c>
    </row>
    <row r="124" spans="1:11">
      <c r="A124" s="1">
        <v>123</v>
      </c>
      <c r="B124">
        <v>66</v>
      </c>
      <c r="C124">
        <v>26</v>
      </c>
      <c r="D124" t="s">
        <v>15</v>
      </c>
      <c r="E124" t="s">
        <v>23</v>
      </c>
      <c r="F124">
        <v>255</v>
      </c>
      <c r="G124">
        <v>3</v>
      </c>
      <c r="H124" s="2">
        <v>44645</v>
      </c>
      <c r="I124">
        <v>50</v>
      </c>
      <c r="J124" t="s">
        <v>16</v>
      </c>
      <c r="K124" t="s">
        <v>14</v>
      </c>
    </row>
    <row r="125" spans="1:11">
      <c r="A125" s="1">
        <v>124</v>
      </c>
      <c r="B125">
        <v>105</v>
      </c>
      <c r="C125">
        <v>4</v>
      </c>
      <c r="D125" t="s">
        <v>15</v>
      </c>
      <c r="E125" t="s">
        <v>19</v>
      </c>
      <c r="F125">
        <v>155</v>
      </c>
      <c r="G125">
        <v>2</v>
      </c>
      <c r="H125" s="2">
        <v>44778</v>
      </c>
      <c r="I125">
        <v>40</v>
      </c>
      <c r="J125" t="s">
        <v>13</v>
      </c>
      <c r="K125" t="s">
        <v>17</v>
      </c>
    </row>
    <row r="126" spans="1:11">
      <c r="A126" s="1">
        <v>125</v>
      </c>
      <c r="B126">
        <v>85</v>
      </c>
      <c r="C126">
        <v>39</v>
      </c>
      <c r="D126" t="s">
        <v>15</v>
      </c>
      <c r="E126" t="s">
        <v>12</v>
      </c>
      <c r="F126">
        <v>437</v>
      </c>
      <c r="G126">
        <v>1</v>
      </c>
      <c r="H126" s="2">
        <v>44903</v>
      </c>
      <c r="I126">
        <v>32</v>
      </c>
      <c r="J126" t="s">
        <v>13</v>
      </c>
      <c r="K126" t="s">
        <v>22</v>
      </c>
    </row>
    <row r="127" spans="1:11">
      <c r="A127" s="1">
        <v>126</v>
      </c>
      <c r="B127">
        <v>2</v>
      </c>
      <c r="C127">
        <v>39</v>
      </c>
      <c r="D127" t="s">
        <v>29</v>
      </c>
      <c r="E127" t="s">
        <v>19</v>
      </c>
      <c r="F127">
        <v>779</v>
      </c>
      <c r="G127">
        <v>4</v>
      </c>
      <c r="H127" s="2">
        <v>44748</v>
      </c>
      <c r="I127">
        <v>50</v>
      </c>
      <c r="J127" t="s">
        <v>13</v>
      </c>
      <c r="K127" t="s">
        <v>17</v>
      </c>
    </row>
    <row r="128" spans="1:11">
      <c r="A128" s="1">
        <v>127</v>
      </c>
      <c r="B128">
        <v>193</v>
      </c>
      <c r="C128">
        <v>50</v>
      </c>
      <c r="D128" t="s">
        <v>26</v>
      </c>
      <c r="E128" t="s">
        <v>19</v>
      </c>
      <c r="F128">
        <v>51</v>
      </c>
      <c r="G128">
        <v>1</v>
      </c>
      <c r="H128" s="2">
        <v>44580</v>
      </c>
      <c r="I128">
        <v>42</v>
      </c>
      <c r="J128" t="s">
        <v>16</v>
      </c>
      <c r="K128" t="s">
        <v>20</v>
      </c>
    </row>
    <row r="129" spans="1:11">
      <c r="A129" s="1">
        <v>128</v>
      </c>
      <c r="B129">
        <v>75</v>
      </c>
      <c r="C129">
        <v>35</v>
      </c>
      <c r="D129" t="s">
        <v>29</v>
      </c>
      <c r="E129" t="s">
        <v>19</v>
      </c>
      <c r="F129">
        <v>779</v>
      </c>
      <c r="G129">
        <v>1</v>
      </c>
      <c r="H129" s="2">
        <v>44738</v>
      </c>
      <c r="I129">
        <v>34</v>
      </c>
      <c r="J129" t="s">
        <v>16</v>
      </c>
      <c r="K129" t="s">
        <v>22</v>
      </c>
    </row>
    <row r="130" spans="1:11">
      <c r="A130" s="1">
        <v>129</v>
      </c>
      <c r="B130">
        <v>67</v>
      </c>
      <c r="C130">
        <v>1</v>
      </c>
      <c r="D130" t="s">
        <v>15</v>
      </c>
      <c r="E130" t="s">
        <v>12</v>
      </c>
      <c r="F130">
        <v>821</v>
      </c>
      <c r="G130">
        <v>3</v>
      </c>
      <c r="H130" s="2">
        <v>44661</v>
      </c>
      <c r="I130">
        <v>50</v>
      </c>
      <c r="J130" t="s">
        <v>13</v>
      </c>
      <c r="K130" t="s">
        <v>30</v>
      </c>
    </row>
    <row r="131" spans="1:11">
      <c r="A131" s="1">
        <v>130</v>
      </c>
      <c r="B131">
        <v>180</v>
      </c>
      <c r="C131">
        <v>24</v>
      </c>
      <c r="D131" t="s">
        <v>28</v>
      </c>
      <c r="E131" t="s">
        <v>23</v>
      </c>
      <c r="F131">
        <v>921</v>
      </c>
      <c r="G131">
        <v>3</v>
      </c>
      <c r="H131" s="2">
        <v>44794</v>
      </c>
      <c r="I131">
        <v>64</v>
      </c>
      <c r="J131" t="s">
        <v>13</v>
      </c>
      <c r="K131" t="s">
        <v>24</v>
      </c>
    </row>
    <row r="132" spans="1:11">
      <c r="A132" s="1">
        <v>131</v>
      </c>
      <c r="B132">
        <v>190</v>
      </c>
      <c r="C132">
        <v>36</v>
      </c>
      <c r="D132" t="s">
        <v>27</v>
      </c>
      <c r="E132" t="s">
        <v>19</v>
      </c>
      <c r="F132">
        <v>558</v>
      </c>
      <c r="G132">
        <v>2</v>
      </c>
      <c r="H132" s="2">
        <v>44637</v>
      </c>
      <c r="I132">
        <v>19</v>
      </c>
      <c r="J132" t="s">
        <v>16</v>
      </c>
      <c r="K132" t="s">
        <v>20</v>
      </c>
    </row>
    <row r="133" spans="1:11">
      <c r="A133" s="1">
        <v>132</v>
      </c>
      <c r="B133">
        <v>151</v>
      </c>
      <c r="C133">
        <v>6</v>
      </c>
      <c r="D133" t="s">
        <v>11</v>
      </c>
      <c r="E133" t="s">
        <v>19</v>
      </c>
      <c r="F133">
        <v>751</v>
      </c>
      <c r="G133">
        <v>4</v>
      </c>
      <c r="H133" s="2">
        <v>44826</v>
      </c>
      <c r="I133">
        <v>31</v>
      </c>
      <c r="J133" t="s">
        <v>16</v>
      </c>
      <c r="K133" t="s">
        <v>20</v>
      </c>
    </row>
    <row r="134" spans="1:11">
      <c r="A134" s="1">
        <v>133</v>
      </c>
      <c r="B134">
        <v>154</v>
      </c>
      <c r="C134">
        <v>41</v>
      </c>
      <c r="D134" t="s">
        <v>29</v>
      </c>
      <c r="E134" t="s">
        <v>12</v>
      </c>
      <c r="F134">
        <v>504</v>
      </c>
      <c r="G134">
        <v>3</v>
      </c>
      <c r="H134" s="2">
        <v>44845</v>
      </c>
      <c r="I134">
        <v>57</v>
      </c>
      <c r="J134" t="s">
        <v>16</v>
      </c>
      <c r="K134" t="s">
        <v>14</v>
      </c>
    </row>
    <row r="135" spans="1:11">
      <c r="A135" s="1">
        <v>134</v>
      </c>
      <c r="B135">
        <v>196</v>
      </c>
      <c r="C135">
        <v>46</v>
      </c>
      <c r="D135" t="s">
        <v>26</v>
      </c>
      <c r="E135" t="s">
        <v>12</v>
      </c>
      <c r="F135">
        <v>526</v>
      </c>
      <c r="G135">
        <v>1</v>
      </c>
      <c r="H135" s="2">
        <v>44767</v>
      </c>
      <c r="I135">
        <v>57</v>
      </c>
      <c r="J135" t="s">
        <v>13</v>
      </c>
      <c r="K135" t="s">
        <v>17</v>
      </c>
    </row>
    <row r="136" spans="1:11">
      <c r="A136" s="1">
        <v>135</v>
      </c>
      <c r="B136">
        <v>55</v>
      </c>
      <c r="C136">
        <v>44</v>
      </c>
      <c r="D136" t="s">
        <v>26</v>
      </c>
      <c r="E136" t="s">
        <v>19</v>
      </c>
      <c r="F136">
        <v>779</v>
      </c>
      <c r="G136">
        <v>2</v>
      </c>
      <c r="H136" s="2">
        <v>44784</v>
      </c>
      <c r="I136">
        <v>56</v>
      </c>
      <c r="J136" t="s">
        <v>16</v>
      </c>
      <c r="K136" t="s">
        <v>20</v>
      </c>
    </row>
    <row r="137" spans="1:11">
      <c r="A137" s="1">
        <v>136</v>
      </c>
      <c r="B137">
        <v>6</v>
      </c>
      <c r="C137">
        <v>31</v>
      </c>
      <c r="D137" t="s">
        <v>31</v>
      </c>
      <c r="E137" t="s">
        <v>23</v>
      </c>
      <c r="F137">
        <v>558</v>
      </c>
      <c r="G137">
        <v>1</v>
      </c>
      <c r="H137" s="2">
        <v>44613</v>
      </c>
      <c r="I137">
        <v>23</v>
      </c>
      <c r="J137" t="s">
        <v>16</v>
      </c>
      <c r="K137" t="s">
        <v>20</v>
      </c>
    </row>
    <row r="138" spans="1:11">
      <c r="A138" s="1">
        <v>137</v>
      </c>
      <c r="B138">
        <v>163</v>
      </c>
      <c r="C138">
        <v>20</v>
      </c>
      <c r="D138" t="s">
        <v>27</v>
      </c>
      <c r="E138" t="s">
        <v>12</v>
      </c>
      <c r="F138">
        <v>611</v>
      </c>
      <c r="G138">
        <v>1</v>
      </c>
      <c r="H138" s="2">
        <v>44900</v>
      </c>
      <c r="I138">
        <v>23</v>
      </c>
      <c r="J138" t="s">
        <v>13</v>
      </c>
      <c r="K138" t="s">
        <v>30</v>
      </c>
    </row>
    <row r="139" spans="1:11">
      <c r="A139" s="1">
        <v>138</v>
      </c>
      <c r="B139">
        <v>150</v>
      </c>
      <c r="C139">
        <v>24</v>
      </c>
      <c r="D139" t="s">
        <v>18</v>
      </c>
      <c r="E139" t="s">
        <v>19</v>
      </c>
      <c r="F139">
        <v>395</v>
      </c>
      <c r="G139">
        <v>3</v>
      </c>
      <c r="H139" s="2">
        <v>44705</v>
      </c>
      <c r="I139">
        <v>20</v>
      </c>
      <c r="J139" t="s">
        <v>16</v>
      </c>
      <c r="K139" t="s">
        <v>30</v>
      </c>
    </row>
    <row r="140" spans="1:11">
      <c r="A140" s="1">
        <v>139</v>
      </c>
      <c r="B140">
        <v>171</v>
      </c>
      <c r="C140">
        <v>25</v>
      </c>
      <c r="D140" t="s">
        <v>25</v>
      </c>
      <c r="E140" t="s">
        <v>23</v>
      </c>
      <c r="F140">
        <v>141</v>
      </c>
      <c r="G140">
        <v>2</v>
      </c>
      <c r="H140" s="2">
        <v>44630</v>
      </c>
      <c r="I140">
        <v>24</v>
      </c>
      <c r="J140" t="s">
        <v>16</v>
      </c>
      <c r="K140" t="s">
        <v>22</v>
      </c>
    </row>
    <row r="141" spans="1:11">
      <c r="A141" s="1">
        <v>140</v>
      </c>
      <c r="B141">
        <v>143</v>
      </c>
      <c r="C141">
        <v>36</v>
      </c>
      <c r="D141" t="s">
        <v>15</v>
      </c>
      <c r="E141" t="s">
        <v>23</v>
      </c>
      <c r="F141">
        <v>389</v>
      </c>
      <c r="G141">
        <v>4</v>
      </c>
      <c r="H141" s="2">
        <v>44660</v>
      </c>
      <c r="I141">
        <v>25</v>
      </c>
      <c r="J141" t="s">
        <v>16</v>
      </c>
      <c r="K141" t="s">
        <v>24</v>
      </c>
    </row>
    <row r="142" spans="1:11">
      <c r="A142" s="1">
        <v>141</v>
      </c>
      <c r="B142">
        <v>86</v>
      </c>
      <c r="C142">
        <v>21</v>
      </c>
      <c r="D142" t="s">
        <v>18</v>
      </c>
      <c r="E142" t="s">
        <v>19</v>
      </c>
      <c r="F142">
        <v>451</v>
      </c>
      <c r="G142">
        <v>4</v>
      </c>
      <c r="H142" s="2">
        <v>44586</v>
      </c>
      <c r="I142">
        <v>59</v>
      </c>
      <c r="J142" t="s">
        <v>13</v>
      </c>
      <c r="K142" t="s">
        <v>14</v>
      </c>
    </row>
    <row r="143" spans="1:11">
      <c r="A143" s="1">
        <v>142</v>
      </c>
      <c r="B143">
        <v>60</v>
      </c>
      <c r="C143">
        <v>30</v>
      </c>
      <c r="D143" t="s">
        <v>31</v>
      </c>
      <c r="E143" t="s">
        <v>19</v>
      </c>
      <c r="F143">
        <v>751</v>
      </c>
      <c r="G143">
        <v>3</v>
      </c>
      <c r="H143" s="2">
        <v>44614</v>
      </c>
      <c r="I143">
        <v>32</v>
      </c>
      <c r="J143" t="s">
        <v>13</v>
      </c>
      <c r="K143" t="s">
        <v>24</v>
      </c>
    </row>
    <row r="144" spans="1:11">
      <c r="A144" s="1">
        <v>143</v>
      </c>
      <c r="B144">
        <v>101</v>
      </c>
      <c r="C144">
        <v>24</v>
      </c>
      <c r="D144" t="s">
        <v>15</v>
      </c>
      <c r="E144" t="s">
        <v>19</v>
      </c>
      <c r="F144">
        <v>389</v>
      </c>
      <c r="G144">
        <v>3</v>
      </c>
      <c r="H144" s="2">
        <v>44712</v>
      </c>
      <c r="I144">
        <v>64</v>
      </c>
      <c r="J144" t="s">
        <v>13</v>
      </c>
      <c r="K144" t="s">
        <v>22</v>
      </c>
    </row>
    <row r="145" spans="1:11">
      <c r="A145" s="1">
        <v>144</v>
      </c>
      <c r="B145">
        <v>12</v>
      </c>
      <c r="C145">
        <v>44</v>
      </c>
      <c r="D145" t="s">
        <v>27</v>
      </c>
      <c r="E145" t="s">
        <v>23</v>
      </c>
      <c r="F145">
        <v>921</v>
      </c>
      <c r="G145">
        <v>2</v>
      </c>
      <c r="H145" s="2">
        <v>44705</v>
      </c>
      <c r="I145">
        <v>46</v>
      </c>
      <c r="J145" t="s">
        <v>13</v>
      </c>
      <c r="K145" t="s">
        <v>30</v>
      </c>
    </row>
    <row r="146" spans="1:11">
      <c r="A146" s="1">
        <v>145</v>
      </c>
      <c r="B146">
        <v>49</v>
      </c>
      <c r="C146">
        <v>42</v>
      </c>
      <c r="D146" t="s">
        <v>31</v>
      </c>
      <c r="E146" t="s">
        <v>23</v>
      </c>
      <c r="F146">
        <v>526</v>
      </c>
      <c r="G146">
        <v>4</v>
      </c>
      <c r="H146" s="2">
        <v>44618</v>
      </c>
      <c r="I146">
        <v>50</v>
      </c>
      <c r="J146" t="s">
        <v>13</v>
      </c>
      <c r="K146" t="s">
        <v>17</v>
      </c>
    </row>
    <row r="147" spans="1:11">
      <c r="A147" s="1">
        <v>146</v>
      </c>
      <c r="B147">
        <v>42</v>
      </c>
      <c r="C147">
        <v>30</v>
      </c>
      <c r="D147" t="s">
        <v>15</v>
      </c>
      <c r="E147" t="s">
        <v>23</v>
      </c>
      <c r="F147">
        <v>51</v>
      </c>
      <c r="G147">
        <v>4</v>
      </c>
      <c r="H147" s="2">
        <v>44600</v>
      </c>
      <c r="I147">
        <v>47</v>
      </c>
      <c r="J147" t="s">
        <v>13</v>
      </c>
      <c r="K147" t="s">
        <v>30</v>
      </c>
    </row>
    <row r="148" spans="1:11">
      <c r="A148" s="1">
        <v>147</v>
      </c>
      <c r="B148">
        <v>166</v>
      </c>
      <c r="C148">
        <v>22</v>
      </c>
      <c r="D148" t="s">
        <v>27</v>
      </c>
      <c r="E148" t="s">
        <v>12</v>
      </c>
      <c r="F148">
        <v>751</v>
      </c>
      <c r="G148">
        <v>4</v>
      </c>
      <c r="H148" s="2">
        <v>44670</v>
      </c>
      <c r="I148">
        <v>56</v>
      </c>
      <c r="J148" t="s">
        <v>13</v>
      </c>
      <c r="K148" t="s">
        <v>14</v>
      </c>
    </row>
    <row r="149" spans="1:11">
      <c r="A149" s="1">
        <v>148</v>
      </c>
      <c r="B149">
        <v>82</v>
      </c>
      <c r="C149">
        <v>28</v>
      </c>
      <c r="D149" t="s">
        <v>21</v>
      </c>
      <c r="E149" t="s">
        <v>23</v>
      </c>
      <c r="F149">
        <v>841</v>
      </c>
      <c r="G149">
        <v>1</v>
      </c>
      <c r="H149" s="2">
        <v>44742</v>
      </c>
      <c r="I149">
        <v>44</v>
      </c>
      <c r="J149" t="s">
        <v>16</v>
      </c>
      <c r="K149" t="s">
        <v>30</v>
      </c>
    </row>
    <row r="150" spans="1:11">
      <c r="A150" s="1">
        <v>149</v>
      </c>
      <c r="B150">
        <v>173</v>
      </c>
      <c r="C150">
        <v>7</v>
      </c>
      <c r="D150" t="s">
        <v>18</v>
      </c>
      <c r="E150" t="s">
        <v>12</v>
      </c>
      <c r="F150">
        <v>752</v>
      </c>
      <c r="G150">
        <v>4</v>
      </c>
      <c r="H150" s="2">
        <v>44603</v>
      </c>
      <c r="I150">
        <v>53</v>
      </c>
      <c r="J150" t="s">
        <v>16</v>
      </c>
      <c r="K150" t="s">
        <v>14</v>
      </c>
    </row>
    <row r="151" spans="1:11">
      <c r="A151" s="1">
        <v>150</v>
      </c>
      <c r="B151">
        <v>35</v>
      </c>
      <c r="C151">
        <v>35</v>
      </c>
      <c r="D151" t="s">
        <v>18</v>
      </c>
      <c r="E151" t="s">
        <v>12</v>
      </c>
      <c r="F151">
        <v>841</v>
      </c>
      <c r="G151">
        <v>1</v>
      </c>
      <c r="H151" s="2">
        <v>44747</v>
      </c>
      <c r="I151">
        <v>46</v>
      </c>
      <c r="J151" t="s">
        <v>13</v>
      </c>
      <c r="K151" t="s">
        <v>14</v>
      </c>
    </row>
    <row r="152" spans="1:11">
      <c r="A152" s="1">
        <v>151</v>
      </c>
      <c r="B152">
        <v>158</v>
      </c>
      <c r="C152">
        <v>28</v>
      </c>
      <c r="D152" t="s">
        <v>25</v>
      </c>
      <c r="E152" t="s">
        <v>19</v>
      </c>
      <c r="F152">
        <v>992</v>
      </c>
      <c r="G152">
        <v>2</v>
      </c>
      <c r="H152" s="2">
        <v>44784</v>
      </c>
      <c r="I152">
        <v>55</v>
      </c>
      <c r="J152" t="s">
        <v>16</v>
      </c>
      <c r="K152" t="s">
        <v>14</v>
      </c>
    </row>
    <row r="153" spans="1:11">
      <c r="A153" s="1">
        <v>152</v>
      </c>
      <c r="B153">
        <v>158</v>
      </c>
      <c r="C153">
        <v>14</v>
      </c>
      <c r="D153" t="s">
        <v>27</v>
      </c>
      <c r="E153" t="s">
        <v>19</v>
      </c>
      <c r="F153">
        <v>416</v>
      </c>
      <c r="G153">
        <v>1</v>
      </c>
      <c r="H153" s="2">
        <v>44683</v>
      </c>
      <c r="I153">
        <v>50</v>
      </c>
      <c r="J153" t="s">
        <v>16</v>
      </c>
      <c r="K153" t="s">
        <v>22</v>
      </c>
    </row>
    <row r="154" spans="1:11">
      <c r="A154" s="1">
        <v>153</v>
      </c>
      <c r="B154">
        <v>134</v>
      </c>
      <c r="C154">
        <v>10</v>
      </c>
      <c r="D154" t="s">
        <v>29</v>
      </c>
      <c r="E154" t="s">
        <v>19</v>
      </c>
      <c r="F154">
        <v>614</v>
      </c>
      <c r="G154">
        <v>2</v>
      </c>
      <c r="H154" s="2">
        <v>44694</v>
      </c>
      <c r="I154">
        <v>54</v>
      </c>
      <c r="J154" t="s">
        <v>13</v>
      </c>
      <c r="K154" t="s">
        <v>14</v>
      </c>
    </row>
    <row r="155" spans="1:11">
      <c r="A155" s="1">
        <v>154</v>
      </c>
      <c r="B155">
        <v>67</v>
      </c>
      <c r="C155">
        <v>16</v>
      </c>
      <c r="D155" t="s">
        <v>21</v>
      </c>
      <c r="E155" t="s">
        <v>19</v>
      </c>
      <c r="F155">
        <v>558</v>
      </c>
      <c r="G155">
        <v>4</v>
      </c>
      <c r="H155" s="2">
        <v>44724</v>
      </c>
      <c r="I155">
        <v>44</v>
      </c>
      <c r="J155" t="s">
        <v>16</v>
      </c>
      <c r="K155" t="s">
        <v>14</v>
      </c>
    </row>
    <row r="156" spans="1:11">
      <c r="A156" s="1">
        <v>155</v>
      </c>
      <c r="B156">
        <v>80</v>
      </c>
      <c r="C156">
        <v>16</v>
      </c>
      <c r="D156" t="s">
        <v>28</v>
      </c>
      <c r="E156" t="s">
        <v>12</v>
      </c>
      <c r="F156">
        <v>912</v>
      </c>
      <c r="G156">
        <v>4</v>
      </c>
      <c r="H156" s="2">
        <v>44776</v>
      </c>
      <c r="I156">
        <v>50</v>
      </c>
      <c r="J156" t="s">
        <v>16</v>
      </c>
      <c r="K156" t="s">
        <v>17</v>
      </c>
    </row>
    <row r="157" spans="1:11">
      <c r="A157" s="1">
        <v>156</v>
      </c>
      <c r="B157">
        <v>7</v>
      </c>
      <c r="C157">
        <v>31</v>
      </c>
      <c r="D157" t="s">
        <v>15</v>
      </c>
      <c r="E157" t="s">
        <v>19</v>
      </c>
      <c r="F157">
        <v>871</v>
      </c>
      <c r="G157">
        <v>2</v>
      </c>
      <c r="H157" s="2">
        <v>44782</v>
      </c>
      <c r="I157">
        <v>21</v>
      </c>
      <c r="J157" t="s">
        <v>16</v>
      </c>
      <c r="K157" t="s">
        <v>24</v>
      </c>
    </row>
    <row r="158" spans="1:11">
      <c r="A158" s="1">
        <v>157</v>
      </c>
      <c r="B158">
        <v>180</v>
      </c>
      <c r="C158">
        <v>42</v>
      </c>
      <c r="D158" t="s">
        <v>21</v>
      </c>
      <c r="E158" t="s">
        <v>23</v>
      </c>
      <c r="F158">
        <v>865</v>
      </c>
      <c r="G158">
        <v>3</v>
      </c>
      <c r="H158" s="2">
        <v>44796</v>
      </c>
      <c r="I158">
        <v>39</v>
      </c>
      <c r="J158" t="s">
        <v>16</v>
      </c>
      <c r="K158" t="s">
        <v>20</v>
      </c>
    </row>
    <row r="159" spans="1:11">
      <c r="A159" s="1">
        <v>158</v>
      </c>
      <c r="B159">
        <v>14</v>
      </c>
      <c r="C159">
        <v>25</v>
      </c>
      <c r="D159" t="s">
        <v>27</v>
      </c>
      <c r="E159" t="s">
        <v>23</v>
      </c>
      <c r="F159">
        <v>981</v>
      </c>
      <c r="G159">
        <v>2</v>
      </c>
      <c r="H159" s="2">
        <v>44892</v>
      </c>
      <c r="I159">
        <v>19</v>
      </c>
      <c r="J159" t="s">
        <v>16</v>
      </c>
      <c r="K159" t="s">
        <v>24</v>
      </c>
    </row>
    <row r="160" spans="1:11">
      <c r="A160" s="1">
        <v>159</v>
      </c>
      <c r="B160">
        <v>73</v>
      </c>
      <c r="C160">
        <v>13</v>
      </c>
      <c r="D160" t="s">
        <v>11</v>
      </c>
      <c r="E160" t="s">
        <v>19</v>
      </c>
      <c r="F160">
        <v>395</v>
      </c>
      <c r="G160">
        <v>3</v>
      </c>
      <c r="H160" s="2">
        <v>44707</v>
      </c>
      <c r="I160">
        <v>27</v>
      </c>
      <c r="J160" t="s">
        <v>13</v>
      </c>
      <c r="K160" t="s">
        <v>14</v>
      </c>
    </row>
    <row r="161" spans="1:11">
      <c r="A161" s="1">
        <v>160</v>
      </c>
      <c r="B161">
        <v>143</v>
      </c>
      <c r="C161">
        <v>6</v>
      </c>
      <c r="D161" t="s">
        <v>15</v>
      </c>
      <c r="E161" t="s">
        <v>12</v>
      </c>
      <c r="F161">
        <v>821</v>
      </c>
      <c r="G161">
        <v>1</v>
      </c>
      <c r="H161" s="2">
        <v>44800</v>
      </c>
      <c r="I161">
        <v>22</v>
      </c>
      <c r="J161" t="s">
        <v>13</v>
      </c>
      <c r="K161" t="s">
        <v>17</v>
      </c>
    </row>
    <row r="162" spans="1:11">
      <c r="A162" s="1">
        <v>161</v>
      </c>
      <c r="B162">
        <v>149</v>
      </c>
      <c r="C162">
        <v>44</v>
      </c>
      <c r="D162" t="s">
        <v>26</v>
      </c>
      <c r="E162" t="s">
        <v>23</v>
      </c>
      <c r="F162">
        <v>558</v>
      </c>
      <c r="G162">
        <v>1</v>
      </c>
      <c r="H162" s="2">
        <v>44637</v>
      </c>
      <c r="I162">
        <v>27</v>
      </c>
      <c r="J162" t="s">
        <v>13</v>
      </c>
      <c r="K162" t="s">
        <v>30</v>
      </c>
    </row>
    <row r="163" spans="1:11">
      <c r="A163" s="1">
        <v>162</v>
      </c>
      <c r="B163">
        <v>163</v>
      </c>
      <c r="C163">
        <v>9</v>
      </c>
      <c r="D163" t="s">
        <v>18</v>
      </c>
      <c r="E163" t="s">
        <v>23</v>
      </c>
      <c r="F163">
        <v>511</v>
      </c>
      <c r="G163">
        <v>1</v>
      </c>
      <c r="H163" s="2">
        <v>44570</v>
      </c>
      <c r="I163">
        <v>50</v>
      </c>
      <c r="J163" t="s">
        <v>16</v>
      </c>
      <c r="K163" t="s">
        <v>17</v>
      </c>
    </row>
    <row r="164" spans="1:11">
      <c r="A164" s="1">
        <v>163</v>
      </c>
      <c r="B164">
        <v>66</v>
      </c>
      <c r="C164">
        <v>45</v>
      </c>
      <c r="D164" t="s">
        <v>27</v>
      </c>
      <c r="E164" t="s">
        <v>12</v>
      </c>
      <c r="F164">
        <v>615</v>
      </c>
      <c r="G164">
        <v>4</v>
      </c>
      <c r="H164" s="2">
        <v>44635</v>
      </c>
      <c r="I164">
        <v>55</v>
      </c>
      <c r="J164" t="s">
        <v>13</v>
      </c>
      <c r="K164" t="s">
        <v>14</v>
      </c>
    </row>
    <row r="165" spans="1:11">
      <c r="A165" s="1">
        <v>164</v>
      </c>
      <c r="B165">
        <v>91</v>
      </c>
      <c r="C165">
        <v>36</v>
      </c>
      <c r="D165" t="s">
        <v>26</v>
      </c>
      <c r="E165" t="s">
        <v>12</v>
      </c>
      <c r="F165">
        <v>526</v>
      </c>
      <c r="G165">
        <v>1</v>
      </c>
      <c r="H165" s="2">
        <v>44814</v>
      </c>
      <c r="I165">
        <v>30</v>
      </c>
      <c r="J165" t="s">
        <v>16</v>
      </c>
      <c r="K165" t="s">
        <v>17</v>
      </c>
    </row>
    <row r="166" spans="1:11">
      <c r="A166" s="1">
        <v>165</v>
      </c>
      <c r="B166">
        <v>130</v>
      </c>
      <c r="C166">
        <v>43</v>
      </c>
      <c r="D166" t="s">
        <v>25</v>
      </c>
      <c r="E166" t="s">
        <v>19</v>
      </c>
      <c r="F166">
        <v>774</v>
      </c>
      <c r="G166">
        <v>3</v>
      </c>
      <c r="H166" s="2">
        <v>44791</v>
      </c>
      <c r="I166">
        <v>48</v>
      </c>
      <c r="J166" t="s">
        <v>16</v>
      </c>
      <c r="K166" t="s">
        <v>17</v>
      </c>
    </row>
    <row r="167" spans="1:11">
      <c r="A167" s="1">
        <v>166</v>
      </c>
      <c r="B167">
        <v>163</v>
      </c>
      <c r="C167">
        <v>20</v>
      </c>
      <c r="D167" t="s">
        <v>31</v>
      </c>
      <c r="E167" t="s">
        <v>12</v>
      </c>
      <c r="F167">
        <v>776</v>
      </c>
      <c r="G167">
        <v>1</v>
      </c>
      <c r="H167" s="2">
        <v>44568</v>
      </c>
      <c r="I167">
        <v>64</v>
      </c>
      <c r="J167" t="s">
        <v>16</v>
      </c>
      <c r="K167" t="s">
        <v>14</v>
      </c>
    </row>
    <row r="168" spans="1:11">
      <c r="A168" s="1">
        <v>167</v>
      </c>
      <c r="B168">
        <v>20</v>
      </c>
      <c r="C168">
        <v>18</v>
      </c>
      <c r="D168" t="s">
        <v>28</v>
      </c>
      <c r="E168" t="s">
        <v>19</v>
      </c>
      <c r="F168">
        <v>752</v>
      </c>
      <c r="G168">
        <v>2</v>
      </c>
      <c r="H168" s="2">
        <v>44735</v>
      </c>
      <c r="I168">
        <v>53</v>
      </c>
      <c r="J168" t="s">
        <v>16</v>
      </c>
      <c r="K168" t="s">
        <v>22</v>
      </c>
    </row>
    <row r="169" spans="1:11">
      <c r="A169" s="1">
        <v>168</v>
      </c>
      <c r="B169">
        <v>10</v>
      </c>
      <c r="C169">
        <v>43</v>
      </c>
      <c r="D169" t="s">
        <v>28</v>
      </c>
      <c r="E169" t="s">
        <v>19</v>
      </c>
      <c r="F169">
        <v>779</v>
      </c>
      <c r="G169">
        <v>2</v>
      </c>
      <c r="H169" s="2">
        <v>44702</v>
      </c>
      <c r="I169">
        <v>62</v>
      </c>
      <c r="J169" t="s">
        <v>13</v>
      </c>
      <c r="K169" t="s">
        <v>17</v>
      </c>
    </row>
    <row r="170" spans="1:11">
      <c r="A170" s="1">
        <v>169</v>
      </c>
      <c r="B170">
        <v>25</v>
      </c>
      <c r="C170">
        <v>21</v>
      </c>
      <c r="D170" t="s">
        <v>26</v>
      </c>
      <c r="E170" t="s">
        <v>12</v>
      </c>
      <c r="F170">
        <v>928</v>
      </c>
      <c r="G170">
        <v>4</v>
      </c>
      <c r="H170" s="2">
        <v>44729</v>
      </c>
      <c r="I170">
        <v>41</v>
      </c>
      <c r="J170" t="s">
        <v>13</v>
      </c>
      <c r="K170" t="s">
        <v>20</v>
      </c>
    </row>
    <row r="171" spans="1:11">
      <c r="A171" s="1">
        <v>170</v>
      </c>
      <c r="B171">
        <v>194</v>
      </c>
      <c r="C171">
        <v>4</v>
      </c>
      <c r="D171" t="s">
        <v>18</v>
      </c>
      <c r="E171" t="s">
        <v>19</v>
      </c>
      <c r="F171">
        <v>511</v>
      </c>
      <c r="G171">
        <v>2</v>
      </c>
      <c r="H171" s="2">
        <v>44731</v>
      </c>
      <c r="I171">
        <v>32</v>
      </c>
      <c r="J171" t="s">
        <v>16</v>
      </c>
      <c r="K171" t="s">
        <v>20</v>
      </c>
    </row>
    <row r="172" spans="1:11">
      <c r="A172" s="1">
        <v>171</v>
      </c>
      <c r="B172">
        <v>25</v>
      </c>
      <c r="C172">
        <v>50</v>
      </c>
      <c r="D172" t="s">
        <v>25</v>
      </c>
      <c r="E172" t="s">
        <v>23</v>
      </c>
      <c r="F172">
        <v>51</v>
      </c>
      <c r="G172">
        <v>3</v>
      </c>
      <c r="H172" s="2">
        <v>44844</v>
      </c>
      <c r="I172">
        <v>46</v>
      </c>
      <c r="J172" t="s">
        <v>13</v>
      </c>
      <c r="K172" t="s">
        <v>17</v>
      </c>
    </row>
    <row r="173" spans="1:11">
      <c r="A173" s="1">
        <v>172</v>
      </c>
      <c r="B173">
        <v>54</v>
      </c>
      <c r="C173">
        <v>33</v>
      </c>
      <c r="D173" t="s">
        <v>11</v>
      </c>
      <c r="E173" t="s">
        <v>23</v>
      </c>
      <c r="F173">
        <v>752</v>
      </c>
      <c r="G173">
        <v>1</v>
      </c>
      <c r="H173" s="2">
        <v>44683</v>
      </c>
      <c r="I173">
        <v>25</v>
      </c>
      <c r="J173" t="s">
        <v>16</v>
      </c>
      <c r="K173" t="s">
        <v>22</v>
      </c>
    </row>
    <row r="174" spans="1:11">
      <c r="A174" s="1">
        <v>173</v>
      </c>
      <c r="B174">
        <v>33</v>
      </c>
      <c r="C174">
        <v>27</v>
      </c>
      <c r="D174" t="s">
        <v>18</v>
      </c>
      <c r="E174" t="s">
        <v>19</v>
      </c>
      <c r="F174">
        <v>751</v>
      </c>
      <c r="G174">
        <v>4</v>
      </c>
      <c r="H174" s="2">
        <v>44755</v>
      </c>
      <c r="I174">
        <v>22</v>
      </c>
      <c r="J174" t="s">
        <v>13</v>
      </c>
      <c r="K174" t="s">
        <v>30</v>
      </c>
    </row>
    <row r="175" spans="1:11">
      <c r="A175" s="1">
        <v>174</v>
      </c>
      <c r="B175">
        <v>164</v>
      </c>
      <c r="C175">
        <v>7</v>
      </c>
      <c r="D175" t="s">
        <v>21</v>
      </c>
      <c r="E175" t="s">
        <v>23</v>
      </c>
      <c r="F175">
        <v>51</v>
      </c>
      <c r="G175">
        <v>1</v>
      </c>
      <c r="H175" s="2">
        <v>44566</v>
      </c>
      <c r="I175">
        <v>46</v>
      </c>
      <c r="J175" t="s">
        <v>13</v>
      </c>
      <c r="K175" t="s">
        <v>14</v>
      </c>
    </row>
    <row r="176" spans="1:11">
      <c r="A176" s="1">
        <v>175</v>
      </c>
      <c r="B176">
        <v>95</v>
      </c>
      <c r="C176">
        <v>6</v>
      </c>
      <c r="D176" t="s">
        <v>28</v>
      </c>
      <c r="E176" t="s">
        <v>19</v>
      </c>
      <c r="F176">
        <v>769</v>
      </c>
      <c r="G176">
        <v>1</v>
      </c>
      <c r="H176" s="2">
        <v>44590</v>
      </c>
      <c r="I176">
        <v>64</v>
      </c>
      <c r="J176" t="s">
        <v>16</v>
      </c>
      <c r="K176" t="s">
        <v>20</v>
      </c>
    </row>
    <row r="177" spans="1:11">
      <c r="A177" s="1">
        <v>176</v>
      </c>
      <c r="B177">
        <v>14</v>
      </c>
      <c r="C177">
        <v>15</v>
      </c>
      <c r="D177" t="s">
        <v>21</v>
      </c>
      <c r="E177" t="s">
        <v>19</v>
      </c>
      <c r="F177">
        <v>437</v>
      </c>
      <c r="G177">
        <v>3</v>
      </c>
      <c r="H177" s="2">
        <v>44726</v>
      </c>
      <c r="I177">
        <v>21</v>
      </c>
      <c r="J177" t="s">
        <v>13</v>
      </c>
      <c r="K177" t="s">
        <v>30</v>
      </c>
    </row>
    <row r="178" spans="1:11">
      <c r="A178" s="1">
        <v>177</v>
      </c>
      <c r="B178">
        <v>65</v>
      </c>
      <c r="C178">
        <v>18</v>
      </c>
      <c r="D178" t="s">
        <v>15</v>
      </c>
      <c r="E178" t="s">
        <v>12</v>
      </c>
      <c r="F178">
        <v>51</v>
      </c>
      <c r="G178">
        <v>2</v>
      </c>
      <c r="H178" s="2">
        <v>44900</v>
      </c>
      <c r="I178">
        <v>29</v>
      </c>
      <c r="J178" t="s">
        <v>16</v>
      </c>
      <c r="K178" t="s">
        <v>17</v>
      </c>
    </row>
    <row r="179" spans="1:11">
      <c r="A179" s="1">
        <v>178</v>
      </c>
      <c r="B179">
        <v>110</v>
      </c>
      <c r="C179">
        <v>32</v>
      </c>
      <c r="D179" t="s">
        <v>29</v>
      </c>
      <c r="E179" t="s">
        <v>12</v>
      </c>
      <c r="F179">
        <v>865</v>
      </c>
      <c r="G179">
        <v>2</v>
      </c>
      <c r="H179" s="2">
        <v>44697</v>
      </c>
      <c r="I179">
        <v>62</v>
      </c>
      <c r="J179" t="s">
        <v>13</v>
      </c>
      <c r="K179" t="s">
        <v>30</v>
      </c>
    </row>
    <row r="180" spans="1:11">
      <c r="A180" s="1">
        <v>179</v>
      </c>
      <c r="B180">
        <v>80</v>
      </c>
      <c r="C180">
        <v>11</v>
      </c>
      <c r="D180" t="s">
        <v>27</v>
      </c>
      <c r="E180" t="s">
        <v>23</v>
      </c>
      <c r="F180">
        <v>928</v>
      </c>
      <c r="G180">
        <v>1</v>
      </c>
      <c r="H180" s="2">
        <v>44926</v>
      </c>
      <c r="I180">
        <v>19</v>
      </c>
      <c r="J180" t="s">
        <v>16</v>
      </c>
      <c r="K180" t="s">
        <v>24</v>
      </c>
    </row>
    <row r="181" spans="1:11">
      <c r="A181" s="1">
        <v>180</v>
      </c>
      <c r="B181">
        <v>54</v>
      </c>
      <c r="C181">
        <v>20</v>
      </c>
      <c r="D181" t="s">
        <v>25</v>
      </c>
      <c r="E181" t="s">
        <v>12</v>
      </c>
      <c r="F181">
        <v>395</v>
      </c>
      <c r="G181">
        <v>4</v>
      </c>
      <c r="H181" s="2">
        <v>44882</v>
      </c>
      <c r="I181">
        <v>44</v>
      </c>
      <c r="J181" t="s">
        <v>16</v>
      </c>
      <c r="K181" t="s">
        <v>20</v>
      </c>
    </row>
    <row r="182" spans="1:11">
      <c r="A182" s="1">
        <v>181</v>
      </c>
      <c r="B182">
        <v>125</v>
      </c>
      <c r="C182">
        <v>24</v>
      </c>
      <c r="D182" t="s">
        <v>18</v>
      </c>
      <c r="E182" t="s">
        <v>12</v>
      </c>
      <c r="F182">
        <v>605</v>
      </c>
      <c r="G182">
        <v>2</v>
      </c>
      <c r="H182" s="2">
        <v>44903</v>
      </c>
      <c r="I182">
        <v>48</v>
      </c>
      <c r="J182" t="s">
        <v>13</v>
      </c>
      <c r="K182" t="s">
        <v>17</v>
      </c>
    </row>
    <row r="183" spans="1:11">
      <c r="A183" s="1">
        <v>182</v>
      </c>
      <c r="B183">
        <v>180</v>
      </c>
      <c r="C183">
        <v>15</v>
      </c>
      <c r="D183" t="s">
        <v>28</v>
      </c>
      <c r="E183" t="s">
        <v>19</v>
      </c>
      <c r="F183">
        <v>912</v>
      </c>
      <c r="G183">
        <v>4</v>
      </c>
      <c r="H183" s="2">
        <v>44706</v>
      </c>
      <c r="I183">
        <v>53</v>
      </c>
      <c r="J183" t="s">
        <v>13</v>
      </c>
      <c r="K183" t="s">
        <v>14</v>
      </c>
    </row>
    <row r="184" spans="1:11">
      <c r="A184" s="1">
        <v>183</v>
      </c>
      <c r="B184">
        <v>131</v>
      </c>
      <c r="C184">
        <v>48</v>
      </c>
      <c r="D184" t="s">
        <v>21</v>
      </c>
      <c r="E184" t="s">
        <v>19</v>
      </c>
      <c r="F184">
        <v>615</v>
      </c>
      <c r="G184">
        <v>2</v>
      </c>
      <c r="H184" s="2">
        <v>44888</v>
      </c>
      <c r="I184">
        <v>53</v>
      </c>
      <c r="J184" t="s">
        <v>16</v>
      </c>
      <c r="K184" t="s">
        <v>22</v>
      </c>
    </row>
    <row r="185" spans="1:11">
      <c r="A185" s="1">
        <v>184</v>
      </c>
      <c r="B185">
        <v>169</v>
      </c>
      <c r="C185">
        <v>7</v>
      </c>
      <c r="D185" t="s">
        <v>31</v>
      </c>
      <c r="E185" t="s">
        <v>12</v>
      </c>
      <c r="F185">
        <v>614</v>
      </c>
      <c r="G185">
        <v>4</v>
      </c>
      <c r="H185" s="2">
        <v>44778</v>
      </c>
      <c r="I185">
        <v>43</v>
      </c>
      <c r="J185" t="s">
        <v>13</v>
      </c>
      <c r="K185" t="s">
        <v>17</v>
      </c>
    </row>
    <row r="186" spans="1:11">
      <c r="A186" s="1">
        <v>185</v>
      </c>
      <c r="B186">
        <v>134</v>
      </c>
      <c r="C186">
        <v>21</v>
      </c>
      <c r="D186" t="s">
        <v>15</v>
      </c>
      <c r="E186" t="s">
        <v>12</v>
      </c>
      <c r="F186">
        <v>141</v>
      </c>
      <c r="G186">
        <v>3</v>
      </c>
      <c r="H186" s="2">
        <v>44862</v>
      </c>
      <c r="I186">
        <v>60</v>
      </c>
      <c r="J186" t="s">
        <v>13</v>
      </c>
      <c r="K186" t="s">
        <v>14</v>
      </c>
    </row>
    <row r="187" spans="1:11">
      <c r="A187" s="1">
        <v>186</v>
      </c>
      <c r="B187">
        <v>25</v>
      </c>
      <c r="C187">
        <v>42</v>
      </c>
      <c r="D187" t="s">
        <v>27</v>
      </c>
      <c r="E187" t="s">
        <v>19</v>
      </c>
      <c r="F187">
        <v>130</v>
      </c>
      <c r="G187">
        <v>4</v>
      </c>
      <c r="H187" s="2">
        <v>44693</v>
      </c>
      <c r="I187">
        <v>44</v>
      </c>
      <c r="J187" t="s">
        <v>16</v>
      </c>
      <c r="K187" t="s">
        <v>22</v>
      </c>
    </row>
    <row r="188" spans="1:11">
      <c r="A188" s="1">
        <v>187</v>
      </c>
      <c r="B188">
        <v>141</v>
      </c>
      <c r="C188">
        <v>26</v>
      </c>
      <c r="D188" t="s">
        <v>27</v>
      </c>
      <c r="E188" t="s">
        <v>12</v>
      </c>
      <c r="F188">
        <v>752</v>
      </c>
      <c r="G188">
        <v>3</v>
      </c>
      <c r="H188" s="2">
        <v>44853</v>
      </c>
      <c r="I188">
        <v>22</v>
      </c>
      <c r="J188" t="s">
        <v>16</v>
      </c>
      <c r="K188" t="s">
        <v>22</v>
      </c>
    </row>
    <row r="189" spans="1:11">
      <c r="A189" s="1">
        <v>188</v>
      </c>
      <c r="B189">
        <v>117</v>
      </c>
      <c r="C189">
        <v>44</v>
      </c>
      <c r="D189" t="s">
        <v>18</v>
      </c>
      <c r="E189" t="s">
        <v>23</v>
      </c>
      <c r="F189">
        <v>558</v>
      </c>
      <c r="G189">
        <v>3</v>
      </c>
      <c r="H189" s="2">
        <v>44631</v>
      </c>
      <c r="I189">
        <v>37</v>
      </c>
      <c r="J189" t="s">
        <v>13</v>
      </c>
      <c r="K189" t="s">
        <v>17</v>
      </c>
    </row>
    <row r="190" spans="1:11">
      <c r="A190" s="1">
        <v>189</v>
      </c>
      <c r="B190">
        <v>136</v>
      </c>
      <c r="C190">
        <v>14</v>
      </c>
      <c r="D190" t="s">
        <v>25</v>
      </c>
      <c r="E190" t="s">
        <v>19</v>
      </c>
      <c r="F190">
        <v>477</v>
      </c>
      <c r="G190">
        <v>4</v>
      </c>
      <c r="H190" s="2">
        <v>44813</v>
      </c>
      <c r="I190">
        <v>28</v>
      </c>
      <c r="J190" t="s">
        <v>16</v>
      </c>
      <c r="K190" t="s">
        <v>30</v>
      </c>
    </row>
    <row r="191" spans="1:11">
      <c r="A191" s="1">
        <v>190</v>
      </c>
      <c r="B191">
        <v>149</v>
      </c>
      <c r="C191">
        <v>37</v>
      </c>
      <c r="D191" t="s">
        <v>11</v>
      </c>
      <c r="E191" t="s">
        <v>12</v>
      </c>
      <c r="F191">
        <v>319</v>
      </c>
      <c r="G191">
        <v>3</v>
      </c>
      <c r="H191" s="2">
        <v>44836</v>
      </c>
      <c r="I191">
        <v>27</v>
      </c>
      <c r="J191" t="s">
        <v>16</v>
      </c>
      <c r="K191" t="s">
        <v>30</v>
      </c>
    </row>
    <row r="192" spans="1:11">
      <c r="A192" s="1">
        <v>191</v>
      </c>
      <c r="B192">
        <v>196</v>
      </c>
      <c r="C192">
        <v>21</v>
      </c>
      <c r="D192" t="s">
        <v>31</v>
      </c>
      <c r="E192" t="s">
        <v>23</v>
      </c>
      <c r="F192">
        <v>251</v>
      </c>
      <c r="G192">
        <v>1</v>
      </c>
      <c r="H192" s="2">
        <v>44925</v>
      </c>
      <c r="I192">
        <v>57</v>
      </c>
      <c r="J192" t="s">
        <v>16</v>
      </c>
      <c r="K192" t="s">
        <v>22</v>
      </c>
    </row>
    <row r="193" spans="1:11">
      <c r="A193" s="1">
        <v>192</v>
      </c>
      <c r="B193">
        <v>25</v>
      </c>
      <c r="C193">
        <v>18</v>
      </c>
      <c r="D193" t="s">
        <v>18</v>
      </c>
      <c r="E193" t="s">
        <v>19</v>
      </c>
      <c r="F193">
        <v>102</v>
      </c>
      <c r="G193">
        <v>3</v>
      </c>
      <c r="H193" s="2">
        <v>44743</v>
      </c>
      <c r="I193">
        <v>55</v>
      </c>
      <c r="J193" t="s">
        <v>13</v>
      </c>
      <c r="K193" t="s">
        <v>30</v>
      </c>
    </row>
    <row r="194" spans="1:11">
      <c r="A194" s="1">
        <v>193</v>
      </c>
      <c r="B194">
        <v>79</v>
      </c>
      <c r="C194">
        <v>5</v>
      </c>
      <c r="D194" t="s">
        <v>21</v>
      </c>
      <c r="E194" t="s">
        <v>19</v>
      </c>
      <c r="F194">
        <v>141</v>
      </c>
      <c r="G194">
        <v>2</v>
      </c>
      <c r="H194" s="2">
        <v>44728</v>
      </c>
      <c r="I194">
        <v>23</v>
      </c>
      <c r="J194" t="s">
        <v>13</v>
      </c>
      <c r="K194" t="s">
        <v>24</v>
      </c>
    </row>
    <row r="195" spans="1:11">
      <c r="A195" s="1">
        <v>194</v>
      </c>
      <c r="B195">
        <v>68</v>
      </c>
      <c r="C195">
        <v>3</v>
      </c>
      <c r="D195" t="s">
        <v>29</v>
      </c>
      <c r="E195" t="s">
        <v>23</v>
      </c>
      <c r="F195">
        <v>751</v>
      </c>
      <c r="G195">
        <v>4</v>
      </c>
      <c r="H195" s="2">
        <v>44652</v>
      </c>
      <c r="I195">
        <v>25</v>
      </c>
      <c r="J195" t="s">
        <v>16</v>
      </c>
      <c r="K195" t="s">
        <v>22</v>
      </c>
    </row>
    <row r="196" spans="1:11">
      <c r="A196" s="1">
        <v>195</v>
      </c>
      <c r="B196">
        <v>173</v>
      </c>
      <c r="C196">
        <v>23</v>
      </c>
      <c r="D196" t="s">
        <v>26</v>
      </c>
      <c r="E196" t="s">
        <v>23</v>
      </c>
      <c r="F196">
        <v>320</v>
      </c>
      <c r="G196">
        <v>1</v>
      </c>
      <c r="H196" s="2">
        <v>44763</v>
      </c>
      <c r="I196">
        <v>40</v>
      </c>
      <c r="J196" t="s">
        <v>13</v>
      </c>
      <c r="K196" t="s">
        <v>22</v>
      </c>
    </row>
    <row r="197" spans="1:11">
      <c r="A197" s="1">
        <v>196</v>
      </c>
      <c r="B197">
        <v>188</v>
      </c>
      <c r="C197">
        <v>26</v>
      </c>
      <c r="D197" t="s">
        <v>11</v>
      </c>
      <c r="E197" t="s">
        <v>19</v>
      </c>
      <c r="F197">
        <v>395</v>
      </c>
      <c r="G197">
        <v>4</v>
      </c>
      <c r="H197" s="2">
        <v>44907</v>
      </c>
      <c r="I197">
        <v>64</v>
      </c>
      <c r="J197" t="s">
        <v>16</v>
      </c>
      <c r="K197" t="s">
        <v>14</v>
      </c>
    </row>
    <row r="198" spans="1:11">
      <c r="A198" s="1">
        <v>197</v>
      </c>
      <c r="B198">
        <v>12</v>
      </c>
      <c r="C198">
        <v>37</v>
      </c>
      <c r="D198" t="s">
        <v>25</v>
      </c>
      <c r="E198" t="s">
        <v>19</v>
      </c>
      <c r="F198">
        <v>779</v>
      </c>
      <c r="G198">
        <v>2</v>
      </c>
      <c r="H198" s="2">
        <v>44580</v>
      </c>
      <c r="I198">
        <v>43</v>
      </c>
      <c r="J198" t="s">
        <v>13</v>
      </c>
      <c r="K198" t="s">
        <v>30</v>
      </c>
    </row>
    <row r="199" spans="1:11">
      <c r="A199" s="1">
        <v>198</v>
      </c>
      <c r="B199">
        <v>32</v>
      </c>
      <c r="C199">
        <v>24</v>
      </c>
      <c r="D199" t="s">
        <v>15</v>
      </c>
      <c r="E199" t="s">
        <v>19</v>
      </c>
      <c r="F199">
        <v>947</v>
      </c>
      <c r="G199">
        <v>2</v>
      </c>
      <c r="H199" s="2">
        <v>44600</v>
      </c>
      <c r="I199">
        <v>63</v>
      </c>
      <c r="J199" t="s">
        <v>16</v>
      </c>
      <c r="K199" t="s">
        <v>22</v>
      </c>
    </row>
    <row r="200" spans="1:11">
      <c r="A200" s="1">
        <v>199</v>
      </c>
      <c r="B200">
        <v>128</v>
      </c>
      <c r="C200">
        <v>49</v>
      </c>
      <c r="D200" t="s">
        <v>11</v>
      </c>
      <c r="E200" t="s">
        <v>19</v>
      </c>
      <c r="F200">
        <v>826</v>
      </c>
      <c r="G200">
        <v>2</v>
      </c>
      <c r="H200" s="2">
        <v>44687</v>
      </c>
      <c r="I200">
        <v>60</v>
      </c>
      <c r="J200" t="s">
        <v>16</v>
      </c>
      <c r="K200" t="s">
        <v>24</v>
      </c>
    </row>
    <row r="201" spans="1:11">
      <c r="A201" s="1">
        <v>200</v>
      </c>
      <c r="B201">
        <v>96</v>
      </c>
      <c r="C201">
        <v>19</v>
      </c>
      <c r="D201" t="s">
        <v>28</v>
      </c>
      <c r="E201" t="s">
        <v>23</v>
      </c>
      <c r="F201">
        <v>437</v>
      </c>
      <c r="G201">
        <v>3</v>
      </c>
      <c r="H201" s="2">
        <v>44734</v>
      </c>
      <c r="I201">
        <v>29</v>
      </c>
      <c r="J201" t="s">
        <v>13</v>
      </c>
      <c r="K201" t="s">
        <v>14</v>
      </c>
    </row>
    <row r="202" spans="1:11">
      <c r="A202" s="1">
        <v>201</v>
      </c>
      <c r="B202">
        <v>92</v>
      </c>
      <c r="C202">
        <v>25</v>
      </c>
      <c r="D202" t="s">
        <v>25</v>
      </c>
      <c r="E202" t="s">
        <v>23</v>
      </c>
      <c r="F202">
        <v>526</v>
      </c>
      <c r="G202">
        <v>3</v>
      </c>
      <c r="H202" s="2">
        <v>44702</v>
      </c>
      <c r="I202">
        <v>43</v>
      </c>
      <c r="J202" t="s">
        <v>16</v>
      </c>
      <c r="K202" t="s">
        <v>17</v>
      </c>
    </row>
    <row r="203" spans="1:11">
      <c r="A203" s="1">
        <v>202</v>
      </c>
      <c r="B203">
        <v>141</v>
      </c>
      <c r="C203">
        <v>21</v>
      </c>
      <c r="D203" t="s">
        <v>29</v>
      </c>
      <c r="E203" t="s">
        <v>19</v>
      </c>
      <c r="F203">
        <v>871</v>
      </c>
      <c r="G203">
        <v>4</v>
      </c>
      <c r="H203" s="2">
        <v>44803</v>
      </c>
      <c r="I203">
        <v>30</v>
      </c>
      <c r="J203" t="s">
        <v>13</v>
      </c>
      <c r="K203" t="s">
        <v>22</v>
      </c>
    </row>
    <row r="204" spans="1:11">
      <c r="A204" s="1">
        <v>203</v>
      </c>
      <c r="B204">
        <v>31</v>
      </c>
      <c r="C204">
        <v>12</v>
      </c>
      <c r="D204" t="s">
        <v>28</v>
      </c>
      <c r="E204" t="s">
        <v>23</v>
      </c>
      <c r="F204">
        <v>558</v>
      </c>
      <c r="G204">
        <v>4</v>
      </c>
      <c r="H204" s="2">
        <v>44781</v>
      </c>
      <c r="I204">
        <v>57</v>
      </c>
      <c r="J204" t="s">
        <v>13</v>
      </c>
      <c r="K204" t="s">
        <v>24</v>
      </c>
    </row>
    <row r="205" spans="1:11">
      <c r="A205" s="1">
        <v>204</v>
      </c>
      <c r="B205">
        <v>78</v>
      </c>
      <c r="C205">
        <v>41</v>
      </c>
      <c r="D205" t="s">
        <v>11</v>
      </c>
      <c r="E205" t="s">
        <v>23</v>
      </c>
      <c r="F205">
        <v>130</v>
      </c>
      <c r="G205">
        <v>1</v>
      </c>
      <c r="H205" s="2">
        <v>44687</v>
      </c>
      <c r="I205">
        <v>35</v>
      </c>
      <c r="J205" t="s">
        <v>16</v>
      </c>
      <c r="K205" t="s">
        <v>20</v>
      </c>
    </row>
    <row r="206" spans="1:11">
      <c r="A206" s="1">
        <v>205</v>
      </c>
      <c r="B206">
        <v>20</v>
      </c>
      <c r="C206">
        <v>33</v>
      </c>
      <c r="D206" t="s">
        <v>26</v>
      </c>
      <c r="E206" t="s">
        <v>23</v>
      </c>
      <c r="F206">
        <v>615</v>
      </c>
      <c r="G206">
        <v>1</v>
      </c>
      <c r="H206" s="2">
        <v>44619</v>
      </c>
      <c r="I206">
        <v>42</v>
      </c>
      <c r="J206" t="s">
        <v>16</v>
      </c>
      <c r="K206" t="s">
        <v>24</v>
      </c>
    </row>
    <row r="207" spans="1:11">
      <c r="A207" s="1">
        <v>206</v>
      </c>
      <c r="B207">
        <v>146</v>
      </c>
      <c r="C207">
        <v>50</v>
      </c>
      <c r="D207" t="s">
        <v>26</v>
      </c>
      <c r="E207" t="s">
        <v>12</v>
      </c>
      <c r="F207">
        <v>102</v>
      </c>
      <c r="G207">
        <v>4</v>
      </c>
      <c r="H207" s="2">
        <v>44709</v>
      </c>
      <c r="I207">
        <v>50</v>
      </c>
      <c r="J207" t="s">
        <v>13</v>
      </c>
      <c r="K207" t="s">
        <v>24</v>
      </c>
    </row>
    <row r="208" spans="1:11">
      <c r="A208" s="1">
        <v>207</v>
      </c>
      <c r="B208">
        <v>60</v>
      </c>
      <c r="C208">
        <v>4</v>
      </c>
      <c r="D208" t="s">
        <v>29</v>
      </c>
      <c r="E208" t="s">
        <v>19</v>
      </c>
      <c r="F208">
        <v>439</v>
      </c>
      <c r="G208">
        <v>3</v>
      </c>
      <c r="H208" s="2">
        <v>44878</v>
      </c>
      <c r="I208">
        <v>64</v>
      </c>
      <c r="J208" t="s">
        <v>16</v>
      </c>
      <c r="K208" t="s">
        <v>14</v>
      </c>
    </row>
    <row r="209" spans="1:11">
      <c r="A209" s="1">
        <v>208</v>
      </c>
      <c r="B209">
        <v>191</v>
      </c>
      <c r="C209">
        <v>42</v>
      </c>
      <c r="D209" t="s">
        <v>27</v>
      </c>
      <c r="E209" t="s">
        <v>23</v>
      </c>
      <c r="F209">
        <v>615</v>
      </c>
      <c r="G209">
        <v>2</v>
      </c>
      <c r="H209" s="2">
        <v>44922</v>
      </c>
      <c r="I209">
        <v>57</v>
      </c>
      <c r="J209" t="s">
        <v>16</v>
      </c>
      <c r="K209" t="s">
        <v>17</v>
      </c>
    </row>
    <row r="210" spans="1:11">
      <c r="A210" s="1">
        <v>209</v>
      </c>
      <c r="B210">
        <v>134</v>
      </c>
      <c r="C210">
        <v>7</v>
      </c>
      <c r="D210" t="s">
        <v>31</v>
      </c>
      <c r="E210" t="s">
        <v>12</v>
      </c>
      <c r="F210">
        <v>320</v>
      </c>
      <c r="G210">
        <v>4</v>
      </c>
      <c r="H210" s="2">
        <v>44562</v>
      </c>
      <c r="I210">
        <v>60</v>
      </c>
      <c r="J210" t="s">
        <v>16</v>
      </c>
      <c r="K210" t="s">
        <v>20</v>
      </c>
    </row>
    <row r="211" spans="1:11">
      <c r="A211" s="1">
        <v>210</v>
      </c>
      <c r="B211">
        <v>160</v>
      </c>
      <c r="C211">
        <v>22</v>
      </c>
      <c r="D211" t="s">
        <v>15</v>
      </c>
      <c r="E211" t="s">
        <v>23</v>
      </c>
      <c r="F211">
        <v>912</v>
      </c>
      <c r="G211">
        <v>1</v>
      </c>
      <c r="H211" s="2">
        <v>44909</v>
      </c>
      <c r="I211">
        <v>29</v>
      </c>
      <c r="J211" t="s">
        <v>16</v>
      </c>
      <c r="K211" t="s">
        <v>30</v>
      </c>
    </row>
    <row r="212" spans="1:11">
      <c r="A212" s="1">
        <v>211</v>
      </c>
      <c r="B212">
        <v>93</v>
      </c>
      <c r="C212">
        <v>33</v>
      </c>
      <c r="D212" t="s">
        <v>27</v>
      </c>
      <c r="E212" t="s">
        <v>23</v>
      </c>
      <c r="F212">
        <v>605</v>
      </c>
      <c r="G212">
        <v>3</v>
      </c>
      <c r="H212" s="2">
        <v>44751</v>
      </c>
      <c r="I212">
        <v>61</v>
      </c>
      <c r="J212" t="s">
        <v>16</v>
      </c>
      <c r="K212" t="s">
        <v>30</v>
      </c>
    </row>
    <row r="213" spans="1:11">
      <c r="A213" s="1">
        <v>212</v>
      </c>
      <c r="B213">
        <v>43</v>
      </c>
      <c r="C213">
        <v>17</v>
      </c>
      <c r="D213" t="s">
        <v>26</v>
      </c>
      <c r="E213" t="s">
        <v>12</v>
      </c>
      <c r="F213">
        <v>871</v>
      </c>
      <c r="G213">
        <v>4</v>
      </c>
      <c r="H213" s="2">
        <v>44752</v>
      </c>
      <c r="I213">
        <v>53</v>
      </c>
      <c r="J213" t="s">
        <v>13</v>
      </c>
      <c r="K213" t="s">
        <v>24</v>
      </c>
    </row>
    <row r="214" spans="1:11">
      <c r="A214" s="1">
        <v>213</v>
      </c>
      <c r="B214">
        <v>130</v>
      </c>
      <c r="C214">
        <v>24</v>
      </c>
      <c r="D214" t="s">
        <v>26</v>
      </c>
      <c r="E214" t="s">
        <v>23</v>
      </c>
      <c r="F214">
        <v>798</v>
      </c>
      <c r="G214">
        <v>4</v>
      </c>
      <c r="H214" s="2">
        <v>44873</v>
      </c>
      <c r="I214">
        <v>21</v>
      </c>
      <c r="J214" t="s">
        <v>13</v>
      </c>
      <c r="K214" t="s">
        <v>14</v>
      </c>
    </row>
    <row r="215" spans="1:11">
      <c r="A215" s="1">
        <v>214</v>
      </c>
      <c r="B215">
        <v>60</v>
      </c>
      <c r="C215">
        <v>34</v>
      </c>
      <c r="D215" t="s">
        <v>21</v>
      </c>
      <c r="E215" t="s">
        <v>12</v>
      </c>
      <c r="F215">
        <v>451</v>
      </c>
      <c r="G215">
        <v>3</v>
      </c>
      <c r="H215" s="2">
        <v>44678</v>
      </c>
      <c r="I215">
        <v>22</v>
      </c>
      <c r="J215" t="s">
        <v>16</v>
      </c>
      <c r="K215" t="s">
        <v>14</v>
      </c>
    </row>
    <row r="216" spans="1:11">
      <c r="A216" s="1">
        <v>215</v>
      </c>
      <c r="B216">
        <v>151</v>
      </c>
      <c r="C216">
        <v>28</v>
      </c>
      <c r="D216" t="s">
        <v>28</v>
      </c>
      <c r="E216" t="s">
        <v>19</v>
      </c>
      <c r="F216">
        <v>826</v>
      </c>
      <c r="G216">
        <v>4</v>
      </c>
      <c r="H216" s="2">
        <v>44695</v>
      </c>
      <c r="I216">
        <v>54</v>
      </c>
      <c r="J216" t="s">
        <v>16</v>
      </c>
      <c r="K216" t="s">
        <v>30</v>
      </c>
    </row>
    <row r="217" spans="1:11">
      <c r="A217" s="1">
        <v>216</v>
      </c>
      <c r="B217">
        <v>31</v>
      </c>
      <c r="C217">
        <v>43</v>
      </c>
      <c r="D217" t="s">
        <v>11</v>
      </c>
      <c r="E217" t="s">
        <v>23</v>
      </c>
      <c r="F217">
        <v>841</v>
      </c>
      <c r="G217">
        <v>3</v>
      </c>
      <c r="H217" s="2">
        <v>44619</v>
      </c>
      <c r="I217">
        <v>25</v>
      </c>
      <c r="J217" t="s">
        <v>16</v>
      </c>
      <c r="K217" t="s">
        <v>20</v>
      </c>
    </row>
    <row r="218" spans="1:11">
      <c r="A218" s="1">
        <v>217</v>
      </c>
      <c r="B218">
        <v>5</v>
      </c>
      <c r="C218">
        <v>41</v>
      </c>
      <c r="D218" t="s">
        <v>15</v>
      </c>
      <c r="E218" t="s">
        <v>23</v>
      </c>
      <c r="F218">
        <v>798</v>
      </c>
      <c r="G218">
        <v>2</v>
      </c>
      <c r="H218" s="2">
        <v>44605</v>
      </c>
      <c r="I218">
        <v>59</v>
      </c>
      <c r="J218" t="s">
        <v>13</v>
      </c>
      <c r="K218" t="s">
        <v>17</v>
      </c>
    </row>
    <row r="219" spans="1:11">
      <c r="A219" s="1">
        <v>218</v>
      </c>
      <c r="B219">
        <v>162</v>
      </c>
      <c r="C219">
        <v>39</v>
      </c>
      <c r="D219" t="s">
        <v>29</v>
      </c>
      <c r="E219" t="s">
        <v>19</v>
      </c>
      <c r="F219">
        <v>947</v>
      </c>
      <c r="G219">
        <v>3</v>
      </c>
      <c r="H219" s="2">
        <v>44734</v>
      </c>
      <c r="I219">
        <v>45</v>
      </c>
      <c r="J219" t="s">
        <v>16</v>
      </c>
      <c r="K219" t="s">
        <v>20</v>
      </c>
    </row>
    <row r="220" spans="1:11">
      <c r="A220" s="1">
        <v>219</v>
      </c>
      <c r="B220">
        <v>10</v>
      </c>
      <c r="C220">
        <v>22</v>
      </c>
      <c r="D220" t="s">
        <v>11</v>
      </c>
      <c r="E220" t="s">
        <v>12</v>
      </c>
      <c r="F220">
        <v>416</v>
      </c>
      <c r="G220">
        <v>3</v>
      </c>
      <c r="H220" s="2">
        <v>44721</v>
      </c>
      <c r="I220">
        <v>48</v>
      </c>
      <c r="J220" t="s">
        <v>13</v>
      </c>
      <c r="K220" t="s">
        <v>22</v>
      </c>
    </row>
    <row r="221" spans="1:11">
      <c r="A221" s="1">
        <v>220</v>
      </c>
      <c r="B221">
        <v>89</v>
      </c>
      <c r="C221">
        <v>49</v>
      </c>
      <c r="D221" t="s">
        <v>21</v>
      </c>
      <c r="E221" t="s">
        <v>23</v>
      </c>
      <c r="F221">
        <v>841</v>
      </c>
      <c r="G221">
        <v>3</v>
      </c>
      <c r="H221" s="2">
        <v>44734</v>
      </c>
      <c r="I221">
        <v>26</v>
      </c>
      <c r="J221" t="s">
        <v>13</v>
      </c>
      <c r="K221" t="s">
        <v>22</v>
      </c>
    </row>
    <row r="222" spans="1:11">
      <c r="A222" s="1">
        <v>221</v>
      </c>
      <c r="B222">
        <v>130</v>
      </c>
      <c r="C222">
        <v>17</v>
      </c>
      <c r="D222" t="s">
        <v>26</v>
      </c>
      <c r="E222" t="s">
        <v>23</v>
      </c>
      <c r="F222">
        <v>477</v>
      </c>
      <c r="G222">
        <v>4</v>
      </c>
      <c r="H222" s="2">
        <v>44878</v>
      </c>
      <c r="I222">
        <v>46</v>
      </c>
      <c r="J222" t="s">
        <v>13</v>
      </c>
      <c r="K222" t="s">
        <v>17</v>
      </c>
    </row>
    <row r="223" spans="1:11">
      <c r="A223" s="1">
        <v>222</v>
      </c>
      <c r="B223">
        <v>126</v>
      </c>
      <c r="C223">
        <v>34</v>
      </c>
      <c r="D223" t="s">
        <v>29</v>
      </c>
      <c r="E223" t="s">
        <v>19</v>
      </c>
      <c r="F223">
        <v>320</v>
      </c>
      <c r="G223">
        <v>4</v>
      </c>
      <c r="H223" s="2">
        <v>44864</v>
      </c>
      <c r="I223">
        <v>31</v>
      </c>
      <c r="J223" t="s">
        <v>16</v>
      </c>
      <c r="K223" t="s">
        <v>30</v>
      </c>
    </row>
    <row r="224" spans="1:11">
      <c r="A224" s="1">
        <v>223</v>
      </c>
      <c r="B224">
        <v>11</v>
      </c>
      <c r="C224">
        <v>6</v>
      </c>
      <c r="D224" t="s">
        <v>26</v>
      </c>
      <c r="E224" t="s">
        <v>12</v>
      </c>
      <c r="F224">
        <v>437</v>
      </c>
      <c r="G224">
        <v>3</v>
      </c>
      <c r="H224" s="2">
        <v>44710</v>
      </c>
      <c r="I224">
        <v>57</v>
      </c>
      <c r="J224" t="s">
        <v>13</v>
      </c>
      <c r="K224" t="s">
        <v>17</v>
      </c>
    </row>
    <row r="225" spans="1:11">
      <c r="A225" s="1">
        <v>224</v>
      </c>
      <c r="B225">
        <v>178</v>
      </c>
      <c r="C225">
        <v>46</v>
      </c>
      <c r="D225" t="s">
        <v>15</v>
      </c>
      <c r="E225" t="s">
        <v>19</v>
      </c>
      <c r="F225">
        <v>826</v>
      </c>
      <c r="G225">
        <v>4</v>
      </c>
      <c r="H225" s="2">
        <v>44641</v>
      </c>
      <c r="I225">
        <v>58</v>
      </c>
      <c r="J225" t="s">
        <v>16</v>
      </c>
      <c r="K225" t="s">
        <v>14</v>
      </c>
    </row>
    <row r="226" spans="1:11">
      <c r="A226" s="1">
        <v>225</v>
      </c>
      <c r="B226">
        <v>159</v>
      </c>
      <c r="C226">
        <v>6</v>
      </c>
      <c r="D226" t="s">
        <v>28</v>
      </c>
      <c r="E226" t="s">
        <v>12</v>
      </c>
      <c r="F226">
        <v>558</v>
      </c>
      <c r="G226">
        <v>1</v>
      </c>
      <c r="H226" s="2">
        <v>44774</v>
      </c>
      <c r="I226">
        <v>39</v>
      </c>
      <c r="J226" t="s">
        <v>13</v>
      </c>
      <c r="K226" t="s">
        <v>22</v>
      </c>
    </row>
    <row r="227" spans="1:11">
      <c r="A227" s="1">
        <v>226</v>
      </c>
      <c r="B227">
        <v>56</v>
      </c>
      <c r="C227">
        <v>34</v>
      </c>
      <c r="D227" t="s">
        <v>11</v>
      </c>
      <c r="E227" t="s">
        <v>12</v>
      </c>
      <c r="F227">
        <v>320</v>
      </c>
      <c r="G227">
        <v>1</v>
      </c>
      <c r="H227" s="2">
        <v>44764</v>
      </c>
      <c r="I227">
        <v>28</v>
      </c>
      <c r="J227" t="s">
        <v>16</v>
      </c>
      <c r="K227" t="s">
        <v>24</v>
      </c>
    </row>
    <row r="228" spans="1:11">
      <c r="A228" s="1">
        <v>227</v>
      </c>
      <c r="B228">
        <v>83</v>
      </c>
      <c r="C228">
        <v>1</v>
      </c>
      <c r="D228" t="s">
        <v>11</v>
      </c>
      <c r="E228" t="s">
        <v>19</v>
      </c>
      <c r="F228">
        <v>477</v>
      </c>
      <c r="G228">
        <v>4</v>
      </c>
      <c r="H228" s="2">
        <v>44813</v>
      </c>
      <c r="I228">
        <v>40</v>
      </c>
      <c r="J228" t="s">
        <v>13</v>
      </c>
      <c r="K228" t="s">
        <v>24</v>
      </c>
    </row>
    <row r="229" spans="1:11">
      <c r="A229" s="1">
        <v>228</v>
      </c>
      <c r="B229">
        <v>137</v>
      </c>
      <c r="C229">
        <v>10</v>
      </c>
      <c r="D229" t="s">
        <v>27</v>
      </c>
      <c r="E229" t="s">
        <v>12</v>
      </c>
      <c r="F229">
        <v>798</v>
      </c>
      <c r="G229">
        <v>4</v>
      </c>
      <c r="H229" s="2">
        <v>44790</v>
      </c>
      <c r="I229">
        <v>18</v>
      </c>
      <c r="J229" t="s">
        <v>16</v>
      </c>
      <c r="K229" t="s">
        <v>30</v>
      </c>
    </row>
    <row r="230" spans="1:11">
      <c r="A230" s="1">
        <v>229</v>
      </c>
      <c r="B230">
        <v>99</v>
      </c>
      <c r="C230">
        <v>21</v>
      </c>
      <c r="D230" t="s">
        <v>29</v>
      </c>
      <c r="E230" t="s">
        <v>23</v>
      </c>
      <c r="F230">
        <v>387</v>
      </c>
      <c r="G230">
        <v>3</v>
      </c>
      <c r="H230" s="2">
        <v>44725</v>
      </c>
      <c r="I230">
        <v>63</v>
      </c>
      <c r="J230" t="s">
        <v>13</v>
      </c>
      <c r="K230" t="s">
        <v>14</v>
      </c>
    </row>
    <row r="231" spans="1:11">
      <c r="A231" s="1">
        <v>230</v>
      </c>
      <c r="B231">
        <v>149</v>
      </c>
      <c r="C231">
        <v>5</v>
      </c>
      <c r="D231" t="s">
        <v>31</v>
      </c>
      <c r="E231" t="s">
        <v>19</v>
      </c>
      <c r="F231">
        <v>345</v>
      </c>
      <c r="G231">
        <v>2</v>
      </c>
      <c r="H231" s="2">
        <v>44788</v>
      </c>
      <c r="I231">
        <v>54</v>
      </c>
      <c r="J231" t="s">
        <v>16</v>
      </c>
      <c r="K231" t="s">
        <v>20</v>
      </c>
    </row>
    <row r="232" spans="1:11">
      <c r="A232" s="1">
        <v>231</v>
      </c>
      <c r="B232">
        <v>73</v>
      </c>
      <c r="C232">
        <v>2</v>
      </c>
      <c r="D232" t="s">
        <v>21</v>
      </c>
      <c r="E232" t="s">
        <v>19</v>
      </c>
      <c r="F232">
        <v>251</v>
      </c>
      <c r="G232">
        <v>4</v>
      </c>
      <c r="H232" s="2">
        <v>44708</v>
      </c>
      <c r="I232">
        <v>38</v>
      </c>
      <c r="J232" t="s">
        <v>16</v>
      </c>
      <c r="K232" t="s">
        <v>14</v>
      </c>
    </row>
    <row r="233" spans="1:11">
      <c r="A233" s="1">
        <v>232</v>
      </c>
      <c r="B233">
        <v>156</v>
      </c>
      <c r="C233">
        <v>22</v>
      </c>
      <c r="D233" t="s">
        <v>31</v>
      </c>
      <c r="E233" t="s">
        <v>19</v>
      </c>
      <c r="F233">
        <v>251</v>
      </c>
      <c r="G233">
        <v>1</v>
      </c>
      <c r="H233" s="2">
        <v>44581</v>
      </c>
      <c r="I233">
        <v>43</v>
      </c>
      <c r="J233" t="s">
        <v>16</v>
      </c>
      <c r="K233" t="s">
        <v>24</v>
      </c>
    </row>
    <row r="234" spans="1:11">
      <c r="A234" s="1">
        <v>233</v>
      </c>
      <c r="B234">
        <v>190</v>
      </c>
      <c r="C234">
        <v>48</v>
      </c>
      <c r="D234" t="s">
        <v>27</v>
      </c>
      <c r="E234" t="s">
        <v>12</v>
      </c>
      <c r="F234">
        <v>141</v>
      </c>
      <c r="G234">
        <v>3</v>
      </c>
      <c r="H234" s="2">
        <v>44608</v>
      </c>
      <c r="I234">
        <v>63</v>
      </c>
      <c r="J234" t="s">
        <v>16</v>
      </c>
      <c r="K234" t="s">
        <v>24</v>
      </c>
    </row>
    <row r="235" spans="1:11">
      <c r="A235" s="1">
        <v>234</v>
      </c>
      <c r="B235">
        <v>115</v>
      </c>
      <c r="C235">
        <v>2</v>
      </c>
      <c r="D235" t="s">
        <v>15</v>
      </c>
      <c r="E235" t="s">
        <v>23</v>
      </c>
      <c r="F235">
        <v>102</v>
      </c>
      <c r="G235">
        <v>4</v>
      </c>
      <c r="H235" s="2">
        <v>44794</v>
      </c>
      <c r="I235">
        <v>53</v>
      </c>
      <c r="J235" t="s">
        <v>13</v>
      </c>
      <c r="K235" t="s">
        <v>22</v>
      </c>
    </row>
    <row r="236" spans="1:11">
      <c r="A236" s="1">
        <v>235</v>
      </c>
      <c r="B236">
        <v>7</v>
      </c>
      <c r="C236">
        <v>10</v>
      </c>
      <c r="D236" t="s">
        <v>21</v>
      </c>
      <c r="E236" t="s">
        <v>19</v>
      </c>
      <c r="F236">
        <v>511</v>
      </c>
      <c r="G236">
        <v>1</v>
      </c>
      <c r="H236" s="2">
        <v>44866</v>
      </c>
      <c r="I236">
        <v>40</v>
      </c>
      <c r="J236" t="s">
        <v>13</v>
      </c>
      <c r="K236" t="s">
        <v>14</v>
      </c>
    </row>
    <row r="237" spans="1:11">
      <c r="A237" s="1">
        <v>236</v>
      </c>
      <c r="B237">
        <v>80</v>
      </c>
      <c r="C237">
        <v>34</v>
      </c>
      <c r="D237" t="s">
        <v>28</v>
      </c>
      <c r="E237" t="s">
        <v>19</v>
      </c>
      <c r="F237">
        <v>611</v>
      </c>
      <c r="G237">
        <v>1</v>
      </c>
      <c r="H237" s="2">
        <v>44575</v>
      </c>
      <c r="I237">
        <v>18</v>
      </c>
      <c r="J237" t="s">
        <v>16</v>
      </c>
      <c r="K237" t="s">
        <v>14</v>
      </c>
    </row>
    <row r="238" spans="1:11">
      <c r="A238" s="1">
        <v>237</v>
      </c>
      <c r="B238">
        <v>144</v>
      </c>
      <c r="C238">
        <v>16</v>
      </c>
      <c r="D238" t="s">
        <v>31</v>
      </c>
      <c r="E238" t="s">
        <v>19</v>
      </c>
      <c r="F238">
        <v>558</v>
      </c>
      <c r="G238">
        <v>2</v>
      </c>
      <c r="H238" s="2">
        <v>44704</v>
      </c>
      <c r="I238">
        <v>57</v>
      </c>
      <c r="J238" t="s">
        <v>13</v>
      </c>
      <c r="K238" t="s">
        <v>24</v>
      </c>
    </row>
    <row r="239" spans="1:11">
      <c r="A239" s="1">
        <v>238</v>
      </c>
      <c r="B239">
        <v>97</v>
      </c>
      <c r="C239">
        <v>48</v>
      </c>
      <c r="D239" t="s">
        <v>28</v>
      </c>
      <c r="E239" t="s">
        <v>12</v>
      </c>
      <c r="F239">
        <v>971</v>
      </c>
      <c r="G239">
        <v>3</v>
      </c>
      <c r="H239" s="2">
        <v>44562</v>
      </c>
      <c r="I239">
        <v>32</v>
      </c>
      <c r="J239" t="s">
        <v>16</v>
      </c>
      <c r="K239" t="s">
        <v>20</v>
      </c>
    </row>
    <row r="240" spans="1:11">
      <c r="A240" s="1">
        <v>239</v>
      </c>
      <c r="B240">
        <v>4</v>
      </c>
      <c r="C240">
        <v>39</v>
      </c>
      <c r="D240" t="s">
        <v>31</v>
      </c>
      <c r="E240" t="s">
        <v>19</v>
      </c>
      <c r="F240">
        <v>752</v>
      </c>
      <c r="G240">
        <v>3</v>
      </c>
      <c r="H240" s="2">
        <v>44615</v>
      </c>
      <c r="I240">
        <v>38</v>
      </c>
      <c r="J240" t="s">
        <v>16</v>
      </c>
      <c r="K240" t="s">
        <v>30</v>
      </c>
    </row>
    <row r="241" spans="1:11">
      <c r="A241" s="1">
        <v>240</v>
      </c>
      <c r="B241">
        <v>4</v>
      </c>
      <c r="C241">
        <v>22</v>
      </c>
      <c r="D241" t="s">
        <v>28</v>
      </c>
      <c r="E241" t="s">
        <v>23</v>
      </c>
      <c r="F241">
        <v>971</v>
      </c>
      <c r="G241">
        <v>2</v>
      </c>
      <c r="H241" s="2">
        <v>44820</v>
      </c>
      <c r="I241">
        <v>64</v>
      </c>
      <c r="J241" t="s">
        <v>13</v>
      </c>
      <c r="K241" t="s">
        <v>30</v>
      </c>
    </row>
    <row r="242" spans="1:11">
      <c r="A242" s="1">
        <v>241</v>
      </c>
      <c r="B242">
        <v>103</v>
      </c>
      <c r="C242">
        <v>12</v>
      </c>
      <c r="D242" t="s">
        <v>31</v>
      </c>
      <c r="E242" t="s">
        <v>12</v>
      </c>
      <c r="F242">
        <v>865</v>
      </c>
      <c r="G242">
        <v>2</v>
      </c>
      <c r="H242" s="2">
        <v>44705</v>
      </c>
      <c r="I242">
        <v>26</v>
      </c>
      <c r="J242" t="s">
        <v>16</v>
      </c>
      <c r="K242" t="s">
        <v>14</v>
      </c>
    </row>
    <row r="243" spans="1:11">
      <c r="A243" s="1">
        <v>242</v>
      </c>
      <c r="B243">
        <v>40</v>
      </c>
      <c r="C243">
        <v>24</v>
      </c>
      <c r="D243" t="s">
        <v>28</v>
      </c>
      <c r="E243" t="s">
        <v>12</v>
      </c>
      <c r="F243">
        <v>439</v>
      </c>
      <c r="G243">
        <v>3</v>
      </c>
      <c r="H243" s="2">
        <v>44573</v>
      </c>
      <c r="I243">
        <v>26</v>
      </c>
      <c r="J243" t="s">
        <v>16</v>
      </c>
      <c r="K243" t="s">
        <v>30</v>
      </c>
    </row>
    <row r="244" spans="1:11">
      <c r="A244" s="1">
        <v>243</v>
      </c>
      <c r="B244">
        <v>17</v>
      </c>
      <c r="C244">
        <v>47</v>
      </c>
      <c r="D244" t="s">
        <v>27</v>
      </c>
      <c r="E244" t="s">
        <v>19</v>
      </c>
      <c r="F244">
        <v>871</v>
      </c>
      <c r="G244">
        <v>3</v>
      </c>
      <c r="H244" s="2">
        <v>44891</v>
      </c>
      <c r="I244">
        <v>27</v>
      </c>
      <c r="J244" t="s">
        <v>13</v>
      </c>
      <c r="K244" t="s">
        <v>24</v>
      </c>
    </row>
    <row r="245" spans="1:11">
      <c r="A245" s="1">
        <v>244</v>
      </c>
      <c r="B245">
        <v>101</v>
      </c>
      <c r="C245">
        <v>40</v>
      </c>
      <c r="D245" t="s">
        <v>25</v>
      </c>
      <c r="E245" t="s">
        <v>12</v>
      </c>
      <c r="F245">
        <v>451</v>
      </c>
      <c r="G245">
        <v>4</v>
      </c>
      <c r="H245" s="2">
        <v>44785</v>
      </c>
      <c r="I245">
        <v>43</v>
      </c>
      <c r="J245" t="s">
        <v>16</v>
      </c>
      <c r="K245" t="s">
        <v>24</v>
      </c>
    </row>
    <row r="246" spans="1:11">
      <c r="A246" s="1">
        <v>245</v>
      </c>
      <c r="B246">
        <v>103</v>
      </c>
      <c r="C246">
        <v>38</v>
      </c>
      <c r="D246" t="s">
        <v>21</v>
      </c>
      <c r="E246" t="s">
        <v>23</v>
      </c>
      <c r="F246">
        <v>928</v>
      </c>
      <c r="G246">
        <v>4</v>
      </c>
      <c r="H246" s="2">
        <v>44833</v>
      </c>
      <c r="I246">
        <v>58</v>
      </c>
      <c r="J246" t="s">
        <v>16</v>
      </c>
      <c r="K246" t="s">
        <v>14</v>
      </c>
    </row>
    <row r="247" spans="1:11">
      <c r="A247" s="1">
        <v>246</v>
      </c>
      <c r="B247">
        <v>124</v>
      </c>
      <c r="C247">
        <v>10</v>
      </c>
      <c r="D247" t="s">
        <v>29</v>
      </c>
      <c r="E247" t="s">
        <v>23</v>
      </c>
      <c r="F247">
        <v>130</v>
      </c>
      <c r="G247">
        <v>2</v>
      </c>
      <c r="H247" s="2">
        <v>44919</v>
      </c>
      <c r="I247">
        <v>52</v>
      </c>
      <c r="J247" t="s">
        <v>16</v>
      </c>
      <c r="K247" t="s">
        <v>14</v>
      </c>
    </row>
    <row r="248" spans="1:11">
      <c r="A248" s="1">
        <v>247</v>
      </c>
      <c r="B248">
        <v>52</v>
      </c>
      <c r="C248">
        <v>35</v>
      </c>
      <c r="D248" t="s">
        <v>15</v>
      </c>
      <c r="E248" t="s">
        <v>12</v>
      </c>
      <c r="F248">
        <v>947</v>
      </c>
      <c r="G248">
        <v>4</v>
      </c>
      <c r="H248" s="2">
        <v>44717</v>
      </c>
      <c r="I248">
        <v>42</v>
      </c>
      <c r="J248" t="s">
        <v>16</v>
      </c>
      <c r="K248" t="s">
        <v>22</v>
      </c>
    </row>
    <row r="249" spans="1:11">
      <c r="A249" s="1">
        <v>248</v>
      </c>
      <c r="B249">
        <v>52</v>
      </c>
      <c r="C249">
        <v>49</v>
      </c>
      <c r="D249" t="s">
        <v>18</v>
      </c>
      <c r="E249" t="s">
        <v>19</v>
      </c>
      <c r="F249">
        <v>779</v>
      </c>
      <c r="G249">
        <v>1</v>
      </c>
      <c r="H249" s="2">
        <v>44569</v>
      </c>
      <c r="I249">
        <v>43</v>
      </c>
      <c r="J249" t="s">
        <v>13</v>
      </c>
      <c r="K249" t="s">
        <v>14</v>
      </c>
    </row>
    <row r="250" spans="1:11">
      <c r="A250" s="1">
        <v>249</v>
      </c>
      <c r="B250">
        <v>164</v>
      </c>
      <c r="C250">
        <v>32</v>
      </c>
      <c r="D250" t="s">
        <v>26</v>
      </c>
      <c r="E250" t="s">
        <v>12</v>
      </c>
      <c r="F250">
        <v>477</v>
      </c>
      <c r="G250">
        <v>4</v>
      </c>
      <c r="H250" s="2">
        <v>44683</v>
      </c>
      <c r="I250">
        <v>28</v>
      </c>
      <c r="J250" t="s">
        <v>13</v>
      </c>
      <c r="K250" t="s">
        <v>20</v>
      </c>
    </row>
    <row r="251" spans="1:11">
      <c r="A251" s="1">
        <v>250</v>
      </c>
      <c r="B251">
        <v>124</v>
      </c>
      <c r="C251">
        <v>7</v>
      </c>
      <c r="D251" t="s">
        <v>29</v>
      </c>
      <c r="E251" t="s">
        <v>23</v>
      </c>
      <c r="F251">
        <v>752</v>
      </c>
      <c r="G251">
        <v>4</v>
      </c>
      <c r="H251" s="2">
        <v>44909</v>
      </c>
      <c r="I251">
        <v>55</v>
      </c>
      <c r="J251" t="s">
        <v>13</v>
      </c>
      <c r="K251" t="s">
        <v>30</v>
      </c>
    </row>
    <row r="252" spans="1:11">
      <c r="A252" s="1">
        <v>251</v>
      </c>
      <c r="B252">
        <v>166</v>
      </c>
      <c r="C252">
        <v>21</v>
      </c>
      <c r="D252" t="s">
        <v>26</v>
      </c>
      <c r="E252" t="s">
        <v>19</v>
      </c>
      <c r="F252">
        <v>526</v>
      </c>
      <c r="G252">
        <v>1</v>
      </c>
      <c r="H252" s="2">
        <v>44725</v>
      </c>
      <c r="I252">
        <v>19</v>
      </c>
      <c r="J252" t="s">
        <v>16</v>
      </c>
      <c r="K252" t="s">
        <v>14</v>
      </c>
    </row>
    <row r="253" spans="1:11">
      <c r="A253" s="1">
        <v>252</v>
      </c>
      <c r="B253">
        <v>178</v>
      </c>
      <c r="C253">
        <v>20</v>
      </c>
      <c r="D253" t="s">
        <v>21</v>
      </c>
      <c r="E253" t="s">
        <v>23</v>
      </c>
      <c r="F253">
        <v>437</v>
      </c>
      <c r="G253">
        <v>2</v>
      </c>
      <c r="H253" s="2">
        <v>44651</v>
      </c>
      <c r="I253">
        <v>24</v>
      </c>
      <c r="J253" t="s">
        <v>16</v>
      </c>
      <c r="K253" t="s">
        <v>17</v>
      </c>
    </row>
    <row r="254" spans="1:11">
      <c r="A254" s="1">
        <v>253</v>
      </c>
      <c r="B254">
        <v>63</v>
      </c>
      <c r="C254">
        <v>26</v>
      </c>
      <c r="D254" t="s">
        <v>29</v>
      </c>
      <c r="E254" t="s">
        <v>19</v>
      </c>
      <c r="F254">
        <v>451</v>
      </c>
      <c r="G254">
        <v>1</v>
      </c>
      <c r="H254" s="2">
        <v>44697</v>
      </c>
      <c r="I254">
        <v>35</v>
      </c>
      <c r="J254" t="s">
        <v>13</v>
      </c>
      <c r="K254" t="s">
        <v>22</v>
      </c>
    </row>
    <row r="255" spans="1:11">
      <c r="A255" s="1">
        <v>254</v>
      </c>
      <c r="B255">
        <v>116</v>
      </c>
      <c r="C255">
        <v>4</v>
      </c>
      <c r="D255" t="s">
        <v>28</v>
      </c>
      <c r="E255" t="s">
        <v>12</v>
      </c>
      <c r="F255">
        <v>611</v>
      </c>
      <c r="G255">
        <v>4</v>
      </c>
      <c r="H255" s="2">
        <v>44747</v>
      </c>
      <c r="I255">
        <v>44</v>
      </c>
      <c r="J255" t="s">
        <v>16</v>
      </c>
      <c r="K255" t="s">
        <v>17</v>
      </c>
    </row>
    <row r="256" spans="1:11">
      <c r="A256" s="1">
        <v>255</v>
      </c>
      <c r="B256">
        <v>191</v>
      </c>
      <c r="C256">
        <v>46</v>
      </c>
      <c r="D256" t="s">
        <v>28</v>
      </c>
      <c r="E256" t="s">
        <v>12</v>
      </c>
      <c r="F256">
        <v>774</v>
      </c>
      <c r="G256">
        <v>2</v>
      </c>
      <c r="H256" s="2">
        <v>44877</v>
      </c>
      <c r="I256">
        <v>51</v>
      </c>
      <c r="J256" t="s">
        <v>16</v>
      </c>
      <c r="K256" t="s">
        <v>24</v>
      </c>
    </row>
    <row r="257" spans="1:11">
      <c r="A257" s="1">
        <v>256</v>
      </c>
      <c r="B257">
        <v>62</v>
      </c>
      <c r="C257">
        <v>22</v>
      </c>
      <c r="D257" t="s">
        <v>18</v>
      </c>
      <c r="E257" t="s">
        <v>12</v>
      </c>
      <c r="F257">
        <v>751</v>
      </c>
      <c r="G257">
        <v>4</v>
      </c>
      <c r="H257" s="2">
        <v>44739</v>
      </c>
      <c r="I257">
        <v>44</v>
      </c>
      <c r="J257" t="s">
        <v>16</v>
      </c>
      <c r="K257" t="s">
        <v>30</v>
      </c>
    </row>
    <row r="258" spans="1:11">
      <c r="A258" s="1">
        <v>257</v>
      </c>
      <c r="B258">
        <v>7</v>
      </c>
      <c r="C258">
        <v>15</v>
      </c>
      <c r="D258" t="s">
        <v>26</v>
      </c>
      <c r="E258" t="s">
        <v>12</v>
      </c>
      <c r="F258">
        <v>345</v>
      </c>
      <c r="G258">
        <v>1</v>
      </c>
      <c r="H258" s="2">
        <v>44589</v>
      </c>
      <c r="I258">
        <v>34</v>
      </c>
      <c r="J258" t="s">
        <v>16</v>
      </c>
      <c r="K258" t="s">
        <v>14</v>
      </c>
    </row>
    <row r="259" spans="1:11">
      <c r="A259" s="1">
        <v>258</v>
      </c>
      <c r="B259">
        <v>155</v>
      </c>
      <c r="C259">
        <v>40</v>
      </c>
      <c r="D259" t="s">
        <v>15</v>
      </c>
      <c r="E259" t="s">
        <v>19</v>
      </c>
      <c r="F259">
        <v>971</v>
      </c>
      <c r="G259">
        <v>1</v>
      </c>
      <c r="H259" s="2">
        <v>44781</v>
      </c>
      <c r="I259">
        <v>60</v>
      </c>
      <c r="J259" t="s">
        <v>13</v>
      </c>
      <c r="K259" t="s">
        <v>17</v>
      </c>
    </row>
    <row r="260" spans="1:11">
      <c r="A260" s="1">
        <v>259</v>
      </c>
      <c r="B260">
        <v>92</v>
      </c>
      <c r="C260">
        <v>21</v>
      </c>
      <c r="D260" t="s">
        <v>21</v>
      </c>
      <c r="E260" t="s">
        <v>19</v>
      </c>
      <c r="F260">
        <v>51</v>
      </c>
      <c r="G260">
        <v>4</v>
      </c>
      <c r="H260" s="2">
        <v>44918</v>
      </c>
      <c r="I260">
        <v>61</v>
      </c>
      <c r="J260" t="s">
        <v>13</v>
      </c>
      <c r="K260" t="s">
        <v>30</v>
      </c>
    </row>
    <row r="261" spans="1:11">
      <c r="A261" s="1">
        <v>260</v>
      </c>
      <c r="B261">
        <v>14</v>
      </c>
      <c r="C261">
        <v>15</v>
      </c>
      <c r="D261" t="s">
        <v>28</v>
      </c>
      <c r="E261" t="s">
        <v>12</v>
      </c>
      <c r="F261">
        <v>798</v>
      </c>
      <c r="G261">
        <v>3</v>
      </c>
      <c r="H261" s="2">
        <v>44602</v>
      </c>
      <c r="I261">
        <v>41</v>
      </c>
      <c r="J261" t="s">
        <v>13</v>
      </c>
      <c r="K261" t="s">
        <v>24</v>
      </c>
    </row>
    <row r="262" spans="1:11">
      <c r="A262" s="1">
        <v>261</v>
      </c>
      <c r="B262">
        <v>199</v>
      </c>
      <c r="C262">
        <v>22</v>
      </c>
      <c r="D262" t="s">
        <v>25</v>
      </c>
      <c r="E262" t="s">
        <v>12</v>
      </c>
      <c r="F262">
        <v>301</v>
      </c>
      <c r="G262">
        <v>3</v>
      </c>
      <c r="H262" s="2">
        <v>44789</v>
      </c>
      <c r="I262">
        <v>42</v>
      </c>
      <c r="J262" t="s">
        <v>16</v>
      </c>
      <c r="K262" t="s">
        <v>20</v>
      </c>
    </row>
    <row r="263" spans="1:11">
      <c r="A263" s="1">
        <v>262</v>
      </c>
      <c r="B263">
        <v>86</v>
      </c>
      <c r="C263">
        <v>28</v>
      </c>
      <c r="D263" t="s">
        <v>27</v>
      </c>
      <c r="E263" t="s">
        <v>19</v>
      </c>
      <c r="F263">
        <v>776</v>
      </c>
      <c r="G263">
        <v>1</v>
      </c>
      <c r="H263" s="2">
        <v>44753</v>
      </c>
      <c r="I263">
        <v>24</v>
      </c>
      <c r="J263" t="s">
        <v>13</v>
      </c>
      <c r="K263" t="s">
        <v>22</v>
      </c>
    </row>
    <row r="264" spans="1:11">
      <c r="A264" s="1">
        <v>263</v>
      </c>
      <c r="B264">
        <v>133</v>
      </c>
      <c r="C264">
        <v>14</v>
      </c>
      <c r="D264" t="s">
        <v>27</v>
      </c>
      <c r="E264" t="s">
        <v>19</v>
      </c>
      <c r="F264">
        <v>841</v>
      </c>
      <c r="G264">
        <v>1</v>
      </c>
      <c r="H264" s="2">
        <v>44706</v>
      </c>
      <c r="I264">
        <v>23</v>
      </c>
      <c r="J264" t="s">
        <v>13</v>
      </c>
      <c r="K264" t="s">
        <v>30</v>
      </c>
    </row>
    <row r="265" spans="1:11">
      <c r="A265" s="1">
        <v>264</v>
      </c>
      <c r="B265">
        <v>183</v>
      </c>
      <c r="C265">
        <v>27</v>
      </c>
      <c r="D265" t="s">
        <v>31</v>
      </c>
      <c r="E265" t="s">
        <v>19</v>
      </c>
      <c r="F265">
        <v>155</v>
      </c>
      <c r="G265">
        <v>3</v>
      </c>
      <c r="H265" s="2">
        <v>44762</v>
      </c>
      <c r="I265">
        <v>41</v>
      </c>
      <c r="J265" t="s">
        <v>16</v>
      </c>
      <c r="K265" t="s">
        <v>30</v>
      </c>
    </row>
    <row r="266" spans="1:11">
      <c r="A266" s="1">
        <v>265</v>
      </c>
      <c r="B266">
        <v>130</v>
      </c>
      <c r="C266">
        <v>41</v>
      </c>
      <c r="D266" t="s">
        <v>15</v>
      </c>
      <c r="E266" t="s">
        <v>12</v>
      </c>
      <c r="F266">
        <v>928</v>
      </c>
      <c r="G266">
        <v>3</v>
      </c>
      <c r="H266" s="2">
        <v>44773</v>
      </c>
      <c r="I266">
        <v>50</v>
      </c>
      <c r="J266" t="s">
        <v>16</v>
      </c>
      <c r="K266" t="s">
        <v>20</v>
      </c>
    </row>
    <row r="267" spans="1:11">
      <c r="A267" s="1">
        <v>266</v>
      </c>
      <c r="B267">
        <v>62</v>
      </c>
      <c r="C267">
        <v>40</v>
      </c>
      <c r="D267" t="s">
        <v>27</v>
      </c>
      <c r="E267" t="s">
        <v>23</v>
      </c>
      <c r="F267">
        <v>251</v>
      </c>
      <c r="G267">
        <v>4</v>
      </c>
      <c r="H267" s="2">
        <v>44781</v>
      </c>
      <c r="I267">
        <v>46</v>
      </c>
      <c r="J267" t="s">
        <v>13</v>
      </c>
      <c r="K267" t="s">
        <v>30</v>
      </c>
    </row>
    <row r="268" spans="1:11">
      <c r="A268" s="1">
        <v>267</v>
      </c>
      <c r="B268">
        <v>149</v>
      </c>
      <c r="C268">
        <v>28</v>
      </c>
      <c r="D268" t="s">
        <v>31</v>
      </c>
      <c r="E268" t="s">
        <v>23</v>
      </c>
      <c r="F268">
        <v>928</v>
      </c>
      <c r="G268">
        <v>4</v>
      </c>
      <c r="H268" s="2">
        <v>44801</v>
      </c>
      <c r="I268">
        <v>60</v>
      </c>
      <c r="J268" t="s">
        <v>13</v>
      </c>
      <c r="K268" t="s">
        <v>24</v>
      </c>
    </row>
    <row r="269" spans="1:11">
      <c r="A269" s="1">
        <v>268</v>
      </c>
      <c r="B269">
        <v>79</v>
      </c>
      <c r="C269">
        <v>26</v>
      </c>
      <c r="D269" t="s">
        <v>26</v>
      </c>
      <c r="E269" t="s">
        <v>23</v>
      </c>
      <c r="F269">
        <v>319</v>
      </c>
      <c r="G269">
        <v>3</v>
      </c>
      <c r="H269" s="2">
        <v>44607</v>
      </c>
      <c r="I269">
        <v>39</v>
      </c>
      <c r="J269" t="s">
        <v>13</v>
      </c>
      <c r="K269" t="s">
        <v>24</v>
      </c>
    </row>
    <row r="270" spans="1:11">
      <c r="A270" s="1">
        <v>269</v>
      </c>
      <c r="B270">
        <v>149</v>
      </c>
      <c r="C270">
        <v>49</v>
      </c>
      <c r="D270" t="s">
        <v>28</v>
      </c>
      <c r="E270" t="s">
        <v>19</v>
      </c>
      <c r="F270">
        <v>387</v>
      </c>
      <c r="G270">
        <v>4</v>
      </c>
      <c r="H270" s="2">
        <v>44596</v>
      </c>
      <c r="I270">
        <v>43</v>
      </c>
      <c r="J270" t="s">
        <v>13</v>
      </c>
      <c r="K270" t="s">
        <v>20</v>
      </c>
    </row>
    <row r="271" spans="1:11">
      <c r="A271" s="1">
        <v>270</v>
      </c>
      <c r="B271">
        <v>138</v>
      </c>
      <c r="C271">
        <v>2</v>
      </c>
      <c r="D271" t="s">
        <v>28</v>
      </c>
      <c r="E271" t="s">
        <v>23</v>
      </c>
      <c r="F271">
        <v>389</v>
      </c>
      <c r="G271">
        <v>4</v>
      </c>
      <c r="H271" s="2">
        <v>44814</v>
      </c>
      <c r="I271">
        <v>45</v>
      </c>
      <c r="J271" t="s">
        <v>16</v>
      </c>
      <c r="K271" t="s">
        <v>22</v>
      </c>
    </row>
    <row r="272" spans="1:11">
      <c r="A272" s="1">
        <v>271</v>
      </c>
      <c r="B272">
        <v>58</v>
      </c>
      <c r="C272">
        <v>25</v>
      </c>
      <c r="D272" t="s">
        <v>25</v>
      </c>
      <c r="E272" t="s">
        <v>12</v>
      </c>
      <c r="F272">
        <v>774</v>
      </c>
      <c r="G272">
        <v>2</v>
      </c>
      <c r="H272" s="2">
        <v>44643</v>
      </c>
      <c r="I272">
        <v>38</v>
      </c>
      <c r="J272" t="s">
        <v>13</v>
      </c>
      <c r="K272" t="s">
        <v>14</v>
      </c>
    </row>
    <row r="273" spans="1:11">
      <c r="A273" s="1">
        <v>272</v>
      </c>
      <c r="B273">
        <v>120</v>
      </c>
      <c r="C273">
        <v>3</v>
      </c>
      <c r="D273" t="s">
        <v>29</v>
      </c>
      <c r="E273" t="s">
        <v>12</v>
      </c>
      <c r="F273">
        <v>102</v>
      </c>
      <c r="G273">
        <v>4</v>
      </c>
      <c r="H273" s="2">
        <v>44817</v>
      </c>
      <c r="I273">
        <v>24</v>
      </c>
      <c r="J273" t="s">
        <v>13</v>
      </c>
      <c r="K273" t="s">
        <v>17</v>
      </c>
    </row>
    <row r="274" spans="1:11">
      <c r="A274" s="1">
        <v>273</v>
      </c>
      <c r="B274">
        <v>167</v>
      </c>
      <c r="C274">
        <v>8</v>
      </c>
      <c r="D274" t="s">
        <v>27</v>
      </c>
      <c r="E274" t="s">
        <v>19</v>
      </c>
      <c r="F274">
        <v>912</v>
      </c>
      <c r="G274">
        <v>1</v>
      </c>
      <c r="H274" s="2">
        <v>44758</v>
      </c>
      <c r="I274">
        <v>34</v>
      </c>
      <c r="J274" t="s">
        <v>16</v>
      </c>
      <c r="K274" t="s">
        <v>14</v>
      </c>
    </row>
    <row r="275" spans="1:11">
      <c r="A275" s="1">
        <v>274</v>
      </c>
      <c r="B275">
        <v>133</v>
      </c>
      <c r="C275">
        <v>44</v>
      </c>
      <c r="D275" t="s">
        <v>26</v>
      </c>
      <c r="E275" t="s">
        <v>12</v>
      </c>
      <c r="F275">
        <v>301</v>
      </c>
      <c r="G275">
        <v>4</v>
      </c>
      <c r="H275" s="2">
        <v>44864</v>
      </c>
      <c r="I275">
        <v>37</v>
      </c>
      <c r="J275" t="s">
        <v>13</v>
      </c>
      <c r="K275" t="s">
        <v>30</v>
      </c>
    </row>
    <row r="276" spans="1:11">
      <c r="A276" s="1">
        <v>275</v>
      </c>
      <c r="B276">
        <v>65</v>
      </c>
      <c r="C276">
        <v>33</v>
      </c>
      <c r="D276" t="s">
        <v>11</v>
      </c>
      <c r="E276" t="s">
        <v>19</v>
      </c>
      <c r="F276">
        <v>825</v>
      </c>
      <c r="G276">
        <v>4</v>
      </c>
      <c r="H276" s="2">
        <v>44571</v>
      </c>
      <c r="I276">
        <v>58</v>
      </c>
      <c r="J276" t="s">
        <v>16</v>
      </c>
      <c r="K276" t="s">
        <v>17</v>
      </c>
    </row>
    <row r="277" spans="1:11">
      <c r="A277" s="1">
        <v>276</v>
      </c>
      <c r="B277">
        <v>13</v>
      </c>
      <c r="C277">
        <v>42</v>
      </c>
      <c r="D277" t="s">
        <v>27</v>
      </c>
      <c r="E277" t="s">
        <v>23</v>
      </c>
      <c r="F277">
        <v>971</v>
      </c>
      <c r="G277">
        <v>3</v>
      </c>
      <c r="H277" s="2">
        <v>44873</v>
      </c>
      <c r="I277">
        <v>37</v>
      </c>
      <c r="J277" t="s">
        <v>16</v>
      </c>
      <c r="K277" t="s">
        <v>20</v>
      </c>
    </row>
    <row r="278" spans="1:11">
      <c r="A278" s="1">
        <v>277</v>
      </c>
      <c r="B278">
        <v>181</v>
      </c>
      <c r="C278">
        <v>35</v>
      </c>
      <c r="D278" t="s">
        <v>15</v>
      </c>
      <c r="E278" t="s">
        <v>23</v>
      </c>
      <c r="F278">
        <v>614</v>
      </c>
      <c r="G278">
        <v>1</v>
      </c>
      <c r="H278" s="2">
        <v>44847</v>
      </c>
      <c r="I278">
        <v>39</v>
      </c>
      <c r="J278" t="s">
        <v>16</v>
      </c>
      <c r="K278" t="s">
        <v>20</v>
      </c>
    </row>
    <row r="279" spans="1:11">
      <c r="A279" s="1">
        <v>278</v>
      </c>
      <c r="B279">
        <v>82</v>
      </c>
      <c r="C279">
        <v>6</v>
      </c>
      <c r="D279" t="s">
        <v>29</v>
      </c>
      <c r="E279" t="s">
        <v>19</v>
      </c>
      <c r="F279">
        <v>319</v>
      </c>
      <c r="G279">
        <v>4</v>
      </c>
      <c r="H279" s="2">
        <v>44803</v>
      </c>
      <c r="I279">
        <v>45</v>
      </c>
      <c r="J279" t="s">
        <v>13</v>
      </c>
      <c r="K279" t="s">
        <v>22</v>
      </c>
    </row>
    <row r="280" spans="1:11">
      <c r="A280" s="1">
        <v>279</v>
      </c>
      <c r="B280">
        <v>173</v>
      </c>
      <c r="C280">
        <v>39</v>
      </c>
      <c r="D280" t="s">
        <v>27</v>
      </c>
      <c r="E280" t="s">
        <v>19</v>
      </c>
      <c r="F280">
        <v>825</v>
      </c>
      <c r="G280">
        <v>4</v>
      </c>
      <c r="H280" s="2">
        <v>44812</v>
      </c>
      <c r="I280">
        <v>57</v>
      </c>
      <c r="J280" t="s">
        <v>13</v>
      </c>
      <c r="K280" t="s">
        <v>17</v>
      </c>
    </row>
    <row r="281" spans="1:11">
      <c r="A281" s="1">
        <v>280</v>
      </c>
      <c r="B281">
        <v>160</v>
      </c>
      <c r="C281">
        <v>23</v>
      </c>
      <c r="D281" t="s">
        <v>26</v>
      </c>
      <c r="E281" t="s">
        <v>12</v>
      </c>
      <c r="F281">
        <v>981</v>
      </c>
      <c r="G281">
        <v>2</v>
      </c>
      <c r="H281" s="2">
        <v>44926</v>
      </c>
      <c r="I281">
        <v>24</v>
      </c>
      <c r="J281" t="s">
        <v>16</v>
      </c>
      <c r="K281" t="s">
        <v>24</v>
      </c>
    </row>
    <row r="282" spans="1:11">
      <c r="A282" s="1">
        <v>281</v>
      </c>
      <c r="B282">
        <v>164</v>
      </c>
      <c r="C282">
        <v>25</v>
      </c>
      <c r="D282" t="s">
        <v>27</v>
      </c>
      <c r="E282" t="s">
        <v>12</v>
      </c>
      <c r="F282">
        <v>921</v>
      </c>
      <c r="G282">
        <v>4</v>
      </c>
      <c r="H282" s="2">
        <v>44566</v>
      </c>
      <c r="I282">
        <v>18</v>
      </c>
      <c r="J282" t="s">
        <v>13</v>
      </c>
      <c r="K282" t="s">
        <v>17</v>
      </c>
    </row>
    <row r="283" spans="1:11">
      <c r="A283" s="1">
        <v>282</v>
      </c>
      <c r="B283">
        <v>188</v>
      </c>
      <c r="C283">
        <v>50</v>
      </c>
      <c r="D283" t="s">
        <v>15</v>
      </c>
      <c r="E283" t="s">
        <v>23</v>
      </c>
      <c r="F283">
        <v>605</v>
      </c>
      <c r="G283">
        <v>4</v>
      </c>
      <c r="H283" s="2">
        <v>44680</v>
      </c>
      <c r="I283">
        <v>49</v>
      </c>
      <c r="J283" t="s">
        <v>13</v>
      </c>
      <c r="K283" t="s">
        <v>30</v>
      </c>
    </row>
    <row r="284" spans="1:11">
      <c r="A284" s="1">
        <v>283</v>
      </c>
      <c r="B284">
        <v>139</v>
      </c>
      <c r="C284">
        <v>43</v>
      </c>
      <c r="D284" t="s">
        <v>11</v>
      </c>
      <c r="E284" t="s">
        <v>23</v>
      </c>
      <c r="F284">
        <v>102</v>
      </c>
      <c r="G284">
        <v>2</v>
      </c>
      <c r="H284" s="2">
        <v>44850</v>
      </c>
      <c r="I284">
        <v>30</v>
      </c>
      <c r="J284" t="s">
        <v>16</v>
      </c>
      <c r="K284" t="s">
        <v>24</v>
      </c>
    </row>
    <row r="285" spans="1:11">
      <c r="A285" s="1">
        <v>284</v>
      </c>
      <c r="B285">
        <v>191</v>
      </c>
      <c r="C285">
        <v>19</v>
      </c>
      <c r="D285" t="s">
        <v>21</v>
      </c>
      <c r="E285" t="s">
        <v>12</v>
      </c>
      <c r="F285">
        <v>558</v>
      </c>
      <c r="G285">
        <v>3</v>
      </c>
      <c r="H285" s="2">
        <v>44626</v>
      </c>
      <c r="I285">
        <v>47</v>
      </c>
      <c r="J285" t="s">
        <v>16</v>
      </c>
      <c r="K285" t="s">
        <v>20</v>
      </c>
    </row>
    <row r="286" spans="1:11">
      <c r="A286" s="1">
        <v>285</v>
      </c>
      <c r="B286">
        <v>149</v>
      </c>
      <c r="C286">
        <v>5</v>
      </c>
      <c r="D286" t="s">
        <v>18</v>
      </c>
      <c r="E286" t="s">
        <v>19</v>
      </c>
      <c r="F286">
        <v>921</v>
      </c>
      <c r="G286">
        <v>4</v>
      </c>
      <c r="H286" s="2">
        <v>44707</v>
      </c>
      <c r="I286">
        <v>40</v>
      </c>
      <c r="J286" t="s">
        <v>13</v>
      </c>
      <c r="K286" t="s">
        <v>17</v>
      </c>
    </row>
    <row r="287" spans="1:11">
      <c r="A287" s="1">
        <v>286</v>
      </c>
      <c r="B287">
        <v>52</v>
      </c>
      <c r="C287">
        <v>11</v>
      </c>
      <c r="D287" t="s">
        <v>11</v>
      </c>
      <c r="E287" t="s">
        <v>23</v>
      </c>
      <c r="F287">
        <v>511</v>
      </c>
      <c r="G287">
        <v>2</v>
      </c>
      <c r="H287" s="2">
        <v>44785</v>
      </c>
      <c r="I287">
        <v>36</v>
      </c>
      <c r="J287" t="s">
        <v>16</v>
      </c>
      <c r="K287" t="s">
        <v>14</v>
      </c>
    </row>
    <row r="288" spans="1:11">
      <c r="A288" s="1">
        <v>287</v>
      </c>
      <c r="B288">
        <v>183</v>
      </c>
      <c r="C288">
        <v>12</v>
      </c>
      <c r="D288" t="s">
        <v>31</v>
      </c>
      <c r="E288" t="s">
        <v>19</v>
      </c>
      <c r="F288">
        <v>437</v>
      </c>
      <c r="G288">
        <v>1</v>
      </c>
      <c r="H288" s="2">
        <v>44800</v>
      </c>
      <c r="I288">
        <v>49</v>
      </c>
      <c r="J288" t="s">
        <v>13</v>
      </c>
      <c r="K288" t="s">
        <v>22</v>
      </c>
    </row>
    <row r="289" spans="1:11">
      <c r="A289" s="1">
        <v>288</v>
      </c>
      <c r="B289">
        <v>117</v>
      </c>
      <c r="C289">
        <v>10</v>
      </c>
      <c r="D289" t="s">
        <v>27</v>
      </c>
      <c r="E289" t="s">
        <v>19</v>
      </c>
      <c r="F289">
        <v>320</v>
      </c>
      <c r="G289">
        <v>3</v>
      </c>
      <c r="H289" s="2">
        <v>44738</v>
      </c>
      <c r="I289">
        <v>47</v>
      </c>
      <c r="J289" t="s">
        <v>13</v>
      </c>
      <c r="K289" t="s">
        <v>14</v>
      </c>
    </row>
    <row r="290" spans="1:11">
      <c r="A290" s="1">
        <v>289</v>
      </c>
      <c r="B290">
        <v>26</v>
      </c>
      <c r="C290">
        <v>8</v>
      </c>
      <c r="D290" t="s">
        <v>28</v>
      </c>
      <c r="E290" t="s">
        <v>23</v>
      </c>
      <c r="F290">
        <v>84</v>
      </c>
      <c r="G290">
        <v>1</v>
      </c>
      <c r="H290" s="2">
        <v>44828</v>
      </c>
      <c r="I290">
        <v>46</v>
      </c>
      <c r="J290" t="s">
        <v>13</v>
      </c>
      <c r="K290" t="s">
        <v>22</v>
      </c>
    </row>
    <row r="291" spans="1:11">
      <c r="A291" s="1">
        <v>290</v>
      </c>
      <c r="B291">
        <v>196</v>
      </c>
      <c r="C291">
        <v>24</v>
      </c>
      <c r="D291" t="s">
        <v>25</v>
      </c>
      <c r="E291" t="s">
        <v>23</v>
      </c>
      <c r="F291">
        <v>387</v>
      </c>
      <c r="G291">
        <v>1</v>
      </c>
      <c r="H291" s="2">
        <v>44902</v>
      </c>
      <c r="I291">
        <v>62</v>
      </c>
      <c r="J291" t="s">
        <v>13</v>
      </c>
      <c r="K291" t="s">
        <v>30</v>
      </c>
    </row>
    <row r="292" spans="1:11">
      <c r="A292" s="1">
        <v>291</v>
      </c>
      <c r="B292">
        <v>34</v>
      </c>
      <c r="C292">
        <v>28</v>
      </c>
      <c r="D292" t="s">
        <v>28</v>
      </c>
      <c r="E292" t="s">
        <v>19</v>
      </c>
      <c r="F292">
        <v>614</v>
      </c>
      <c r="G292">
        <v>2</v>
      </c>
      <c r="H292" s="2">
        <v>44843</v>
      </c>
      <c r="I292">
        <v>46</v>
      </c>
      <c r="J292" t="s">
        <v>16</v>
      </c>
      <c r="K292" t="s">
        <v>14</v>
      </c>
    </row>
    <row r="293" spans="1:11">
      <c r="A293" s="1">
        <v>292</v>
      </c>
      <c r="B293">
        <v>52</v>
      </c>
      <c r="C293">
        <v>41</v>
      </c>
      <c r="D293" t="s">
        <v>11</v>
      </c>
      <c r="E293" t="s">
        <v>19</v>
      </c>
      <c r="F293">
        <v>558</v>
      </c>
      <c r="G293">
        <v>4</v>
      </c>
      <c r="H293" s="2">
        <v>44624</v>
      </c>
      <c r="I293">
        <v>47</v>
      </c>
      <c r="J293" t="s">
        <v>16</v>
      </c>
      <c r="K293" t="s">
        <v>17</v>
      </c>
    </row>
    <row r="294" spans="1:11">
      <c r="A294" s="1">
        <v>293</v>
      </c>
      <c r="B294">
        <v>112</v>
      </c>
      <c r="C294">
        <v>36</v>
      </c>
      <c r="D294" t="s">
        <v>28</v>
      </c>
      <c r="E294" t="s">
        <v>19</v>
      </c>
      <c r="F294">
        <v>511</v>
      </c>
      <c r="G294">
        <v>2</v>
      </c>
      <c r="H294" s="2">
        <v>44778</v>
      </c>
      <c r="I294">
        <v>33</v>
      </c>
      <c r="J294" t="s">
        <v>16</v>
      </c>
      <c r="K294" t="s">
        <v>17</v>
      </c>
    </row>
    <row r="295" spans="1:11">
      <c r="A295" s="1">
        <v>294</v>
      </c>
      <c r="B295">
        <v>82</v>
      </c>
      <c r="C295">
        <v>37</v>
      </c>
      <c r="D295" t="s">
        <v>26</v>
      </c>
      <c r="E295" t="s">
        <v>12</v>
      </c>
      <c r="F295">
        <v>826</v>
      </c>
      <c r="G295">
        <v>2</v>
      </c>
      <c r="H295" s="2">
        <v>44903</v>
      </c>
      <c r="I295">
        <v>57</v>
      </c>
      <c r="J295" t="s">
        <v>16</v>
      </c>
      <c r="K295" t="s">
        <v>14</v>
      </c>
    </row>
    <row r="296" spans="1:11">
      <c r="A296" s="1">
        <v>295</v>
      </c>
      <c r="B296">
        <v>180</v>
      </c>
      <c r="C296">
        <v>21</v>
      </c>
      <c r="D296" t="s">
        <v>28</v>
      </c>
      <c r="E296" t="s">
        <v>23</v>
      </c>
      <c r="F296">
        <v>752</v>
      </c>
      <c r="G296">
        <v>2</v>
      </c>
      <c r="H296" s="2">
        <v>44876</v>
      </c>
      <c r="I296">
        <v>36</v>
      </c>
      <c r="J296" t="s">
        <v>13</v>
      </c>
      <c r="K296" t="s">
        <v>17</v>
      </c>
    </row>
    <row r="297" spans="1:11">
      <c r="A297" s="1">
        <v>296</v>
      </c>
      <c r="B297">
        <v>157</v>
      </c>
      <c r="C297">
        <v>8</v>
      </c>
      <c r="D297" t="s">
        <v>29</v>
      </c>
      <c r="E297" t="s">
        <v>23</v>
      </c>
      <c r="F297">
        <v>387</v>
      </c>
      <c r="G297">
        <v>2</v>
      </c>
      <c r="H297" s="2">
        <v>44844</v>
      </c>
      <c r="I297">
        <v>35</v>
      </c>
      <c r="J297" t="s">
        <v>13</v>
      </c>
      <c r="K297" t="s">
        <v>30</v>
      </c>
    </row>
    <row r="298" spans="1:11">
      <c r="A298" s="1">
        <v>297</v>
      </c>
      <c r="B298">
        <v>166</v>
      </c>
      <c r="C298">
        <v>9</v>
      </c>
      <c r="D298" t="s">
        <v>21</v>
      </c>
      <c r="E298" t="s">
        <v>23</v>
      </c>
      <c r="F298">
        <v>504</v>
      </c>
      <c r="G298">
        <v>3</v>
      </c>
      <c r="H298" s="2">
        <v>44738</v>
      </c>
      <c r="I298">
        <v>18</v>
      </c>
      <c r="J298" t="s">
        <v>16</v>
      </c>
      <c r="K298" t="s">
        <v>24</v>
      </c>
    </row>
    <row r="299" spans="1:11">
      <c r="A299" s="1">
        <v>298</v>
      </c>
      <c r="B299">
        <v>42</v>
      </c>
      <c r="C299">
        <v>47</v>
      </c>
      <c r="D299" t="s">
        <v>27</v>
      </c>
      <c r="E299" t="s">
        <v>23</v>
      </c>
      <c r="F299">
        <v>387</v>
      </c>
      <c r="G299">
        <v>4</v>
      </c>
      <c r="H299" s="2">
        <v>44659</v>
      </c>
      <c r="I299">
        <v>31</v>
      </c>
      <c r="J299" t="s">
        <v>13</v>
      </c>
      <c r="K299" t="s">
        <v>30</v>
      </c>
    </row>
    <row r="300" spans="1:11">
      <c r="A300" s="1">
        <v>299</v>
      </c>
      <c r="B300">
        <v>21</v>
      </c>
      <c r="C300">
        <v>15</v>
      </c>
      <c r="D300" t="s">
        <v>28</v>
      </c>
      <c r="E300" t="s">
        <v>12</v>
      </c>
      <c r="F300">
        <v>345</v>
      </c>
      <c r="G300">
        <v>1</v>
      </c>
      <c r="H300" s="2">
        <v>44666</v>
      </c>
      <c r="I300">
        <v>64</v>
      </c>
      <c r="J300" t="s">
        <v>13</v>
      </c>
      <c r="K300" t="s">
        <v>22</v>
      </c>
    </row>
    <row r="301" spans="1:11">
      <c r="A301" s="1">
        <v>300</v>
      </c>
      <c r="B301">
        <v>42</v>
      </c>
      <c r="C301">
        <v>48</v>
      </c>
      <c r="D301" t="s">
        <v>15</v>
      </c>
      <c r="E301" t="s">
        <v>19</v>
      </c>
      <c r="F301">
        <v>611</v>
      </c>
      <c r="G301">
        <v>1</v>
      </c>
      <c r="H301" s="2">
        <v>44660</v>
      </c>
      <c r="I301">
        <v>19</v>
      </c>
      <c r="J301" t="s">
        <v>13</v>
      </c>
      <c r="K301" t="s">
        <v>30</v>
      </c>
    </row>
    <row r="302" spans="1:11">
      <c r="A302" s="1">
        <v>301</v>
      </c>
      <c r="B302">
        <v>141</v>
      </c>
      <c r="C302">
        <v>46</v>
      </c>
      <c r="D302" t="s">
        <v>21</v>
      </c>
      <c r="E302" t="s">
        <v>12</v>
      </c>
      <c r="F302">
        <v>477</v>
      </c>
      <c r="G302">
        <v>4</v>
      </c>
      <c r="H302" s="2">
        <v>44872</v>
      </c>
      <c r="I302">
        <v>45</v>
      </c>
      <c r="J302" t="s">
        <v>16</v>
      </c>
      <c r="K302" t="s">
        <v>22</v>
      </c>
    </row>
    <row r="303" spans="1:11">
      <c r="A303" s="1">
        <v>302</v>
      </c>
      <c r="B303">
        <v>113</v>
      </c>
      <c r="C303">
        <v>40</v>
      </c>
      <c r="D303" t="s">
        <v>21</v>
      </c>
      <c r="E303" t="s">
        <v>12</v>
      </c>
      <c r="F303">
        <v>141</v>
      </c>
      <c r="G303">
        <v>1</v>
      </c>
      <c r="H303" s="2">
        <v>44567</v>
      </c>
      <c r="I303">
        <v>47</v>
      </c>
      <c r="J303" t="s">
        <v>16</v>
      </c>
      <c r="K303" t="s">
        <v>17</v>
      </c>
    </row>
    <row r="304" spans="1:11">
      <c r="A304" s="1">
        <v>303</v>
      </c>
      <c r="B304">
        <v>105</v>
      </c>
      <c r="C304">
        <v>18</v>
      </c>
      <c r="D304" t="s">
        <v>28</v>
      </c>
      <c r="E304" t="s">
        <v>19</v>
      </c>
      <c r="F304">
        <v>774</v>
      </c>
      <c r="G304">
        <v>4</v>
      </c>
      <c r="H304" s="2">
        <v>44758</v>
      </c>
      <c r="I304">
        <v>55</v>
      </c>
      <c r="J304" t="s">
        <v>16</v>
      </c>
      <c r="K304" t="s">
        <v>24</v>
      </c>
    </row>
    <row r="305" spans="1:11">
      <c r="A305" s="1">
        <v>304</v>
      </c>
      <c r="B305">
        <v>192</v>
      </c>
      <c r="C305">
        <v>42</v>
      </c>
      <c r="D305" t="s">
        <v>21</v>
      </c>
      <c r="E305" t="s">
        <v>19</v>
      </c>
      <c r="F305">
        <v>871</v>
      </c>
      <c r="G305">
        <v>1</v>
      </c>
      <c r="H305" s="2">
        <v>44912</v>
      </c>
      <c r="I305">
        <v>21</v>
      </c>
      <c r="J305" t="s">
        <v>13</v>
      </c>
      <c r="K305" t="s">
        <v>17</v>
      </c>
    </row>
    <row r="306" spans="1:11">
      <c r="A306" s="1">
        <v>305</v>
      </c>
      <c r="B306">
        <v>17</v>
      </c>
      <c r="C306">
        <v>20</v>
      </c>
      <c r="D306" t="s">
        <v>25</v>
      </c>
      <c r="E306" t="s">
        <v>19</v>
      </c>
      <c r="F306">
        <v>776</v>
      </c>
      <c r="G306">
        <v>2</v>
      </c>
      <c r="H306" s="2">
        <v>44694</v>
      </c>
      <c r="I306">
        <v>18</v>
      </c>
      <c r="J306" t="s">
        <v>16</v>
      </c>
      <c r="K306" t="s">
        <v>20</v>
      </c>
    </row>
    <row r="307" spans="1:11">
      <c r="A307" s="1">
        <v>306</v>
      </c>
      <c r="B307">
        <v>120</v>
      </c>
      <c r="C307">
        <v>6</v>
      </c>
      <c r="D307" t="s">
        <v>28</v>
      </c>
      <c r="E307" t="s">
        <v>23</v>
      </c>
      <c r="F307">
        <v>841</v>
      </c>
      <c r="G307">
        <v>1</v>
      </c>
      <c r="H307" s="2">
        <v>44919</v>
      </c>
      <c r="I307">
        <v>25</v>
      </c>
      <c r="J307" t="s">
        <v>16</v>
      </c>
      <c r="K307" t="s">
        <v>17</v>
      </c>
    </row>
    <row r="308" spans="1:11">
      <c r="A308" s="1">
        <v>307</v>
      </c>
      <c r="B308">
        <v>137</v>
      </c>
      <c r="C308">
        <v>12</v>
      </c>
      <c r="D308" t="s">
        <v>26</v>
      </c>
      <c r="E308" t="s">
        <v>19</v>
      </c>
      <c r="F308">
        <v>451</v>
      </c>
      <c r="G308">
        <v>4</v>
      </c>
      <c r="H308" s="2">
        <v>44820</v>
      </c>
      <c r="I308">
        <v>46</v>
      </c>
      <c r="J308" t="s">
        <v>16</v>
      </c>
      <c r="K308" t="s">
        <v>22</v>
      </c>
    </row>
    <row r="309" spans="1:11">
      <c r="A309" s="1">
        <v>308</v>
      </c>
      <c r="B309">
        <v>169</v>
      </c>
      <c r="C309">
        <v>2</v>
      </c>
      <c r="D309" t="s">
        <v>11</v>
      </c>
      <c r="E309" t="s">
        <v>19</v>
      </c>
      <c r="F309">
        <v>319</v>
      </c>
      <c r="G309">
        <v>4</v>
      </c>
      <c r="H309" s="2">
        <v>44584</v>
      </c>
      <c r="I309">
        <v>56</v>
      </c>
      <c r="J309" t="s">
        <v>16</v>
      </c>
      <c r="K309" t="s">
        <v>17</v>
      </c>
    </row>
    <row r="310" spans="1:11">
      <c r="A310" s="1">
        <v>309</v>
      </c>
      <c r="B310">
        <v>129</v>
      </c>
      <c r="C310">
        <v>7</v>
      </c>
      <c r="D310" t="s">
        <v>29</v>
      </c>
      <c r="E310" t="s">
        <v>19</v>
      </c>
      <c r="F310">
        <v>505</v>
      </c>
      <c r="G310">
        <v>4</v>
      </c>
      <c r="H310" s="2">
        <v>44614</v>
      </c>
      <c r="I310">
        <v>20</v>
      </c>
      <c r="J310" t="s">
        <v>16</v>
      </c>
      <c r="K310" t="s">
        <v>17</v>
      </c>
    </row>
    <row r="311" spans="1:11">
      <c r="A311" s="1">
        <v>310</v>
      </c>
      <c r="B311">
        <v>130</v>
      </c>
      <c r="C311">
        <v>16</v>
      </c>
      <c r="D311" t="s">
        <v>18</v>
      </c>
      <c r="E311" t="s">
        <v>19</v>
      </c>
      <c r="F311">
        <v>477</v>
      </c>
      <c r="G311">
        <v>4</v>
      </c>
      <c r="H311" s="2">
        <v>44726</v>
      </c>
      <c r="I311">
        <v>49</v>
      </c>
      <c r="J311" t="s">
        <v>16</v>
      </c>
      <c r="K311" t="s">
        <v>24</v>
      </c>
    </row>
    <row r="312" spans="1:11">
      <c r="A312" s="1">
        <v>311</v>
      </c>
      <c r="B312">
        <v>60</v>
      </c>
      <c r="C312">
        <v>3</v>
      </c>
      <c r="D312" t="s">
        <v>31</v>
      </c>
      <c r="E312" t="s">
        <v>19</v>
      </c>
      <c r="F312">
        <v>921</v>
      </c>
      <c r="G312">
        <v>4</v>
      </c>
      <c r="H312" s="2">
        <v>44763</v>
      </c>
      <c r="I312">
        <v>27</v>
      </c>
      <c r="J312" t="s">
        <v>13</v>
      </c>
      <c r="K312" t="s">
        <v>17</v>
      </c>
    </row>
    <row r="313" spans="1:11">
      <c r="A313" s="1">
        <v>312</v>
      </c>
      <c r="B313">
        <v>48</v>
      </c>
      <c r="C313">
        <v>45</v>
      </c>
      <c r="D313" t="s">
        <v>21</v>
      </c>
      <c r="E313" t="s">
        <v>12</v>
      </c>
      <c r="F313">
        <v>439</v>
      </c>
      <c r="G313">
        <v>3</v>
      </c>
      <c r="H313" s="2">
        <v>44644</v>
      </c>
      <c r="I313">
        <v>27</v>
      </c>
      <c r="J313" t="s">
        <v>13</v>
      </c>
      <c r="K313" t="s">
        <v>24</v>
      </c>
    </row>
    <row r="314" spans="1:11">
      <c r="A314" s="1">
        <v>313</v>
      </c>
      <c r="B314">
        <v>29</v>
      </c>
      <c r="C314">
        <v>3</v>
      </c>
      <c r="D314" t="s">
        <v>26</v>
      </c>
      <c r="E314" t="s">
        <v>23</v>
      </c>
      <c r="F314">
        <v>395</v>
      </c>
      <c r="G314">
        <v>3</v>
      </c>
      <c r="H314" s="2">
        <v>44706</v>
      </c>
      <c r="I314">
        <v>36</v>
      </c>
      <c r="J314" t="s">
        <v>16</v>
      </c>
      <c r="K314" t="s">
        <v>14</v>
      </c>
    </row>
    <row r="315" spans="1:11">
      <c r="A315" s="1">
        <v>314</v>
      </c>
      <c r="B315">
        <v>97</v>
      </c>
      <c r="C315">
        <v>27</v>
      </c>
      <c r="D315" t="s">
        <v>27</v>
      </c>
      <c r="E315" t="s">
        <v>19</v>
      </c>
      <c r="F315">
        <v>774</v>
      </c>
      <c r="G315">
        <v>1</v>
      </c>
      <c r="H315" s="2">
        <v>44646</v>
      </c>
      <c r="I315">
        <v>63</v>
      </c>
      <c r="J315" t="s">
        <v>16</v>
      </c>
      <c r="K315" t="s">
        <v>20</v>
      </c>
    </row>
    <row r="316" spans="1:11">
      <c r="A316" s="1">
        <v>315</v>
      </c>
      <c r="B316">
        <v>10</v>
      </c>
      <c r="C316">
        <v>50</v>
      </c>
      <c r="D316" t="s">
        <v>27</v>
      </c>
      <c r="E316" t="s">
        <v>19</v>
      </c>
      <c r="F316">
        <v>511</v>
      </c>
      <c r="G316">
        <v>4</v>
      </c>
      <c r="H316" s="2">
        <v>44639</v>
      </c>
      <c r="I316">
        <v>51</v>
      </c>
      <c r="J316" t="s">
        <v>13</v>
      </c>
      <c r="K316" t="s">
        <v>24</v>
      </c>
    </row>
    <row r="317" spans="1:11">
      <c r="A317" s="1">
        <v>316</v>
      </c>
      <c r="B317">
        <v>58</v>
      </c>
      <c r="C317">
        <v>43</v>
      </c>
      <c r="D317" t="s">
        <v>31</v>
      </c>
      <c r="E317" t="s">
        <v>12</v>
      </c>
      <c r="F317">
        <v>301</v>
      </c>
      <c r="G317">
        <v>1</v>
      </c>
      <c r="H317" s="2">
        <v>44562</v>
      </c>
      <c r="I317">
        <v>50</v>
      </c>
      <c r="J317" t="s">
        <v>13</v>
      </c>
      <c r="K317" t="s">
        <v>22</v>
      </c>
    </row>
    <row r="318" spans="1:11">
      <c r="A318" s="1">
        <v>317</v>
      </c>
      <c r="B318">
        <v>188</v>
      </c>
      <c r="C318">
        <v>40</v>
      </c>
      <c r="D318" t="s">
        <v>29</v>
      </c>
      <c r="E318" t="s">
        <v>23</v>
      </c>
      <c r="F318">
        <v>320</v>
      </c>
      <c r="G318">
        <v>4</v>
      </c>
      <c r="H318" s="2">
        <v>44612</v>
      </c>
      <c r="I318">
        <v>40</v>
      </c>
      <c r="J318" t="s">
        <v>16</v>
      </c>
      <c r="K318" t="s">
        <v>14</v>
      </c>
    </row>
    <row r="319" spans="1:11">
      <c r="A319" s="1">
        <v>318</v>
      </c>
      <c r="B319">
        <v>21</v>
      </c>
      <c r="C319">
        <v>38</v>
      </c>
      <c r="D319" t="s">
        <v>21</v>
      </c>
      <c r="E319" t="s">
        <v>12</v>
      </c>
      <c r="F319">
        <v>971</v>
      </c>
      <c r="G319">
        <v>4</v>
      </c>
      <c r="H319" s="2">
        <v>44734</v>
      </c>
      <c r="I319">
        <v>45</v>
      </c>
      <c r="J319" t="s">
        <v>16</v>
      </c>
      <c r="K319" t="s">
        <v>24</v>
      </c>
    </row>
    <row r="320" spans="1:11">
      <c r="A320" s="1">
        <v>319</v>
      </c>
      <c r="B320">
        <v>28</v>
      </c>
      <c r="C320">
        <v>33</v>
      </c>
      <c r="D320" t="s">
        <v>25</v>
      </c>
      <c r="E320" t="s">
        <v>12</v>
      </c>
      <c r="F320">
        <v>774</v>
      </c>
      <c r="G320">
        <v>3</v>
      </c>
      <c r="H320" s="2">
        <v>44766</v>
      </c>
      <c r="I320">
        <v>49</v>
      </c>
      <c r="J320" t="s">
        <v>16</v>
      </c>
      <c r="K320" t="s">
        <v>24</v>
      </c>
    </row>
    <row r="321" spans="1:11">
      <c r="A321" s="1">
        <v>320</v>
      </c>
      <c r="B321">
        <v>34</v>
      </c>
      <c r="C321">
        <v>28</v>
      </c>
      <c r="D321" t="s">
        <v>31</v>
      </c>
      <c r="E321" t="s">
        <v>12</v>
      </c>
      <c r="F321">
        <v>505</v>
      </c>
      <c r="G321">
        <v>3</v>
      </c>
      <c r="H321" s="2">
        <v>44821</v>
      </c>
      <c r="I321">
        <v>24</v>
      </c>
      <c r="J321" t="s">
        <v>16</v>
      </c>
      <c r="K321" t="s">
        <v>20</v>
      </c>
    </row>
    <row r="322" spans="1:11">
      <c r="A322" s="1">
        <v>321</v>
      </c>
      <c r="B322">
        <v>8</v>
      </c>
      <c r="C322">
        <v>1</v>
      </c>
      <c r="D322" t="s">
        <v>29</v>
      </c>
      <c r="E322" t="s">
        <v>19</v>
      </c>
      <c r="F322">
        <v>130</v>
      </c>
      <c r="G322">
        <v>2</v>
      </c>
      <c r="H322" s="2">
        <v>44849</v>
      </c>
      <c r="I322">
        <v>46</v>
      </c>
      <c r="J322" t="s">
        <v>13</v>
      </c>
      <c r="K322" t="s">
        <v>22</v>
      </c>
    </row>
    <row r="323" spans="1:11">
      <c r="A323" s="1">
        <v>322</v>
      </c>
      <c r="B323">
        <v>187</v>
      </c>
      <c r="C323">
        <v>8</v>
      </c>
      <c r="D323" t="s">
        <v>21</v>
      </c>
      <c r="E323" t="s">
        <v>12</v>
      </c>
      <c r="F323">
        <v>451</v>
      </c>
      <c r="G323">
        <v>3</v>
      </c>
      <c r="H323" s="2">
        <v>44595</v>
      </c>
      <c r="I323">
        <v>25</v>
      </c>
      <c r="J323" t="s">
        <v>16</v>
      </c>
      <c r="K323" t="s">
        <v>30</v>
      </c>
    </row>
    <row r="324" spans="1:11">
      <c r="A324" s="1">
        <v>323</v>
      </c>
      <c r="B324">
        <v>200</v>
      </c>
      <c r="C324">
        <v>37</v>
      </c>
      <c r="D324" t="s">
        <v>26</v>
      </c>
      <c r="E324" t="s">
        <v>19</v>
      </c>
      <c r="F324">
        <v>921</v>
      </c>
      <c r="G324">
        <v>2</v>
      </c>
      <c r="H324" s="2">
        <v>44909</v>
      </c>
      <c r="I324">
        <v>18</v>
      </c>
      <c r="J324" t="s">
        <v>16</v>
      </c>
      <c r="K324" t="s">
        <v>30</v>
      </c>
    </row>
    <row r="325" spans="1:11">
      <c r="A325" s="1">
        <v>324</v>
      </c>
      <c r="B325">
        <v>177</v>
      </c>
      <c r="C325">
        <v>32</v>
      </c>
      <c r="D325" t="s">
        <v>11</v>
      </c>
      <c r="E325" t="s">
        <v>19</v>
      </c>
      <c r="F325">
        <v>912</v>
      </c>
      <c r="G325">
        <v>2</v>
      </c>
      <c r="H325" s="2">
        <v>44656</v>
      </c>
      <c r="I325">
        <v>20</v>
      </c>
      <c r="J325" t="s">
        <v>16</v>
      </c>
      <c r="K325" t="s">
        <v>24</v>
      </c>
    </row>
    <row r="326" spans="1:11">
      <c r="A326" s="1">
        <v>325</v>
      </c>
      <c r="B326">
        <v>79</v>
      </c>
      <c r="C326">
        <v>48</v>
      </c>
      <c r="D326" t="s">
        <v>25</v>
      </c>
      <c r="E326" t="s">
        <v>12</v>
      </c>
      <c r="F326">
        <v>615</v>
      </c>
      <c r="G326">
        <v>2</v>
      </c>
      <c r="H326" s="2">
        <v>44633</v>
      </c>
      <c r="I326">
        <v>41</v>
      </c>
      <c r="J326" t="s">
        <v>16</v>
      </c>
      <c r="K326" t="s">
        <v>17</v>
      </c>
    </row>
    <row r="327" spans="1:11">
      <c r="A327" s="1">
        <v>326</v>
      </c>
      <c r="B327">
        <v>145</v>
      </c>
      <c r="C327">
        <v>43</v>
      </c>
      <c r="D327" t="s">
        <v>18</v>
      </c>
      <c r="E327" t="s">
        <v>12</v>
      </c>
      <c r="F327">
        <v>825</v>
      </c>
      <c r="G327">
        <v>2</v>
      </c>
      <c r="H327" s="2">
        <v>44600</v>
      </c>
      <c r="I327">
        <v>40</v>
      </c>
      <c r="J327" t="s">
        <v>13</v>
      </c>
      <c r="K327" t="s">
        <v>22</v>
      </c>
    </row>
    <row r="328" spans="1:11">
      <c r="A328" s="1">
        <v>327</v>
      </c>
      <c r="B328">
        <v>188</v>
      </c>
      <c r="C328">
        <v>37</v>
      </c>
      <c r="D328" t="s">
        <v>27</v>
      </c>
      <c r="E328" t="s">
        <v>12</v>
      </c>
      <c r="F328">
        <v>84</v>
      </c>
      <c r="G328">
        <v>2</v>
      </c>
      <c r="H328" s="2">
        <v>44715</v>
      </c>
      <c r="I328">
        <v>25</v>
      </c>
      <c r="J328" t="s">
        <v>13</v>
      </c>
      <c r="K328" t="s">
        <v>14</v>
      </c>
    </row>
    <row r="329" spans="1:11">
      <c r="A329" s="1">
        <v>328</v>
      </c>
      <c r="B329">
        <v>87</v>
      </c>
      <c r="C329">
        <v>4</v>
      </c>
      <c r="D329" t="s">
        <v>15</v>
      </c>
      <c r="E329" t="s">
        <v>19</v>
      </c>
      <c r="F329">
        <v>947</v>
      </c>
      <c r="G329">
        <v>1</v>
      </c>
      <c r="H329" s="2">
        <v>44811</v>
      </c>
      <c r="I329">
        <v>64</v>
      </c>
      <c r="J329" t="s">
        <v>13</v>
      </c>
      <c r="K329" t="s">
        <v>17</v>
      </c>
    </row>
    <row r="330" spans="1:11">
      <c r="A330" s="1">
        <v>329</v>
      </c>
      <c r="B330">
        <v>88</v>
      </c>
      <c r="C330">
        <v>30</v>
      </c>
      <c r="D330" t="s">
        <v>26</v>
      </c>
      <c r="E330" t="s">
        <v>23</v>
      </c>
      <c r="F330">
        <v>615</v>
      </c>
      <c r="G330">
        <v>3</v>
      </c>
      <c r="H330" s="2">
        <v>44723</v>
      </c>
      <c r="I330">
        <v>54</v>
      </c>
      <c r="J330" t="s">
        <v>16</v>
      </c>
      <c r="K330" t="s">
        <v>17</v>
      </c>
    </row>
    <row r="331" spans="1:11">
      <c r="A331" s="1">
        <v>330</v>
      </c>
      <c r="B331">
        <v>173</v>
      </c>
      <c r="C331">
        <v>6</v>
      </c>
      <c r="D331" t="s">
        <v>27</v>
      </c>
      <c r="E331" t="s">
        <v>19</v>
      </c>
      <c r="F331">
        <v>416</v>
      </c>
      <c r="G331">
        <v>2</v>
      </c>
      <c r="H331" s="2">
        <v>44679</v>
      </c>
      <c r="I331">
        <v>20</v>
      </c>
      <c r="J331" t="s">
        <v>16</v>
      </c>
      <c r="K331" t="s">
        <v>22</v>
      </c>
    </row>
    <row r="332" spans="1:11">
      <c r="A332" s="1">
        <v>331</v>
      </c>
      <c r="B332">
        <v>69</v>
      </c>
      <c r="C332">
        <v>46</v>
      </c>
      <c r="D332" t="s">
        <v>28</v>
      </c>
      <c r="E332" t="s">
        <v>12</v>
      </c>
      <c r="F332">
        <v>774</v>
      </c>
      <c r="G332">
        <v>4</v>
      </c>
      <c r="H332" s="2">
        <v>44820</v>
      </c>
      <c r="I332">
        <v>50</v>
      </c>
      <c r="J332" t="s">
        <v>13</v>
      </c>
      <c r="K332" t="s">
        <v>24</v>
      </c>
    </row>
    <row r="333" spans="1:11">
      <c r="A333" s="1">
        <v>332</v>
      </c>
      <c r="B333">
        <v>160</v>
      </c>
      <c r="C333">
        <v>19</v>
      </c>
      <c r="D333" t="s">
        <v>15</v>
      </c>
      <c r="E333" t="s">
        <v>23</v>
      </c>
      <c r="F333">
        <v>821</v>
      </c>
      <c r="G333">
        <v>3</v>
      </c>
      <c r="H333" s="2">
        <v>44867</v>
      </c>
      <c r="I333">
        <v>45</v>
      </c>
      <c r="J333" t="s">
        <v>16</v>
      </c>
      <c r="K333" t="s">
        <v>24</v>
      </c>
    </row>
    <row r="334" spans="1:11">
      <c r="A334" s="1">
        <v>333</v>
      </c>
      <c r="B334">
        <v>172</v>
      </c>
      <c r="C334">
        <v>32</v>
      </c>
      <c r="D334" t="s">
        <v>27</v>
      </c>
      <c r="E334" t="s">
        <v>19</v>
      </c>
      <c r="F334">
        <v>947</v>
      </c>
      <c r="G334">
        <v>3</v>
      </c>
      <c r="H334" s="2">
        <v>44829</v>
      </c>
      <c r="I334">
        <v>64</v>
      </c>
      <c r="J334" t="s">
        <v>16</v>
      </c>
      <c r="K334" t="s">
        <v>24</v>
      </c>
    </row>
    <row r="335" spans="1:11">
      <c r="A335" s="1">
        <v>334</v>
      </c>
      <c r="B335">
        <v>193</v>
      </c>
      <c r="C335">
        <v>9</v>
      </c>
      <c r="D335" t="s">
        <v>29</v>
      </c>
      <c r="E335" t="s">
        <v>19</v>
      </c>
      <c r="F335">
        <v>451</v>
      </c>
      <c r="G335">
        <v>2</v>
      </c>
      <c r="H335" s="2">
        <v>44615</v>
      </c>
      <c r="I335">
        <v>25</v>
      </c>
      <c r="J335" t="s">
        <v>13</v>
      </c>
      <c r="K335" t="s">
        <v>24</v>
      </c>
    </row>
    <row r="336" spans="1:11">
      <c r="A336" s="1">
        <v>335</v>
      </c>
      <c r="B336">
        <v>87</v>
      </c>
      <c r="C336">
        <v>12</v>
      </c>
      <c r="D336" t="s">
        <v>25</v>
      </c>
      <c r="E336" t="s">
        <v>12</v>
      </c>
      <c r="F336">
        <v>130</v>
      </c>
      <c r="G336">
        <v>1</v>
      </c>
      <c r="H336" s="2">
        <v>44797</v>
      </c>
      <c r="I336">
        <v>51</v>
      </c>
      <c r="J336" t="s">
        <v>13</v>
      </c>
      <c r="K336" t="s">
        <v>30</v>
      </c>
    </row>
    <row r="337" spans="1:11">
      <c r="A337" s="1">
        <v>336</v>
      </c>
      <c r="B337">
        <v>101</v>
      </c>
      <c r="C337">
        <v>11</v>
      </c>
      <c r="D337" t="s">
        <v>27</v>
      </c>
      <c r="E337" t="s">
        <v>19</v>
      </c>
      <c r="F337">
        <v>826</v>
      </c>
      <c r="G337">
        <v>2</v>
      </c>
      <c r="H337" s="2">
        <v>44783</v>
      </c>
      <c r="I337">
        <v>52</v>
      </c>
      <c r="J337" t="s">
        <v>13</v>
      </c>
      <c r="K337" t="s">
        <v>24</v>
      </c>
    </row>
    <row r="338" spans="1:11">
      <c r="A338" s="1">
        <v>337</v>
      </c>
      <c r="B338">
        <v>8</v>
      </c>
      <c r="C338">
        <v>46</v>
      </c>
      <c r="D338" t="s">
        <v>18</v>
      </c>
      <c r="E338" t="s">
        <v>19</v>
      </c>
      <c r="F338">
        <v>614</v>
      </c>
      <c r="G338">
        <v>1</v>
      </c>
      <c r="H338" s="2">
        <v>44812</v>
      </c>
      <c r="I338">
        <v>49</v>
      </c>
      <c r="J338" t="s">
        <v>13</v>
      </c>
      <c r="K338" t="s">
        <v>30</v>
      </c>
    </row>
    <row r="339" spans="1:11">
      <c r="A339" s="1">
        <v>338</v>
      </c>
      <c r="B339">
        <v>77</v>
      </c>
      <c r="C339">
        <v>16</v>
      </c>
      <c r="D339" t="s">
        <v>11</v>
      </c>
      <c r="E339" t="s">
        <v>23</v>
      </c>
      <c r="F339">
        <v>255</v>
      </c>
      <c r="G339">
        <v>4</v>
      </c>
      <c r="H339" s="2">
        <v>44874</v>
      </c>
      <c r="I339">
        <v>41</v>
      </c>
      <c r="J339" t="s">
        <v>16</v>
      </c>
      <c r="K339" t="s">
        <v>30</v>
      </c>
    </row>
    <row r="340" spans="1:11">
      <c r="A340" s="1">
        <v>339</v>
      </c>
      <c r="B340">
        <v>200</v>
      </c>
      <c r="C340">
        <v>1</v>
      </c>
      <c r="D340" t="s">
        <v>29</v>
      </c>
      <c r="E340" t="s">
        <v>19</v>
      </c>
      <c r="F340">
        <v>511</v>
      </c>
      <c r="G340">
        <v>3</v>
      </c>
      <c r="H340" s="2">
        <v>44673</v>
      </c>
      <c r="I340">
        <v>31</v>
      </c>
      <c r="J340" t="s">
        <v>16</v>
      </c>
      <c r="K340" t="s">
        <v>24</v>
      </c>
    </row>
    <row r="341" spans="1:11">
      <c r="A341" s="1">
        <v>340</v>
      </c>
      <c r="B341">
        <v>87</v>
      </c>
      <c r="C341">
        <v>45</v>
      </c>
      <c r="D341" t="s">
        <v>26</v>
      </c>
      <c r="E341" t="s">
        <v>23</v>
      </c>
      <c r="F341">
        <v>971</v>
      </c>
      <c r="G341">
        <v>4</v>
      </c>
      <c r="H341" s="2">
        <v>44816</v>
      </c>
      <c r="I341">
        <v>49</v>
      </c>
      <c r="J341" t="s">
        <v>13</v>
      </c>
      <c r="K341" t="s">
        <v>20</v>
      </c>
    </row>
    <row r="342" spans="1:11">
      <c r="A342" s="1">
        <v>341</v>
      </c>
      <c r="B342">
        <v>43</v>
      </c>
      <c r="C342">
        <v>21</v>
      </c>
      <c r="D342" t="s">
        <v>26</v>
      </c>
      <c r="E342" t="s">
        <v>23</v>
      </c>
      <c r="F342">
        <v>826</v>
      </c>
      <c r="G342">
        <v>1</v>
      </c>
      <c r="H342" s="2">
        <v>44864</v>
      </c>
      <c r="I342">
        <v>63</v>
      </c>
      <c r="J342" t="s">
        <v>16</v>
      </c>
      <c r="K342" t="s">
        <v>14</v>
      </c>
    </row>
    <row r="343" spans="1:11">
      <c r="A343" s="1">
        <v>342</v>
      </c>
      <c r="B343">
        <v>129</v>
      </c>
      <c r="C343">
        <v>30</v>
      </c>
      <c r="D343" t="s">
        <v>26</v>
      </c>
      <c r="E343" t="s">
        <v>19</v>
      </c>
      <c r="F343">
        <v>511</v>
      </c>
      <c r="G343">
        <v>1</v>
      </c>
      <c r="H343" s="2">
        <v>44768</v>
      </c>
      <c r="I343">
        <v>60</v>
      </c>
      <c r="J343" t="s">
        <v>13</v>
      </c>
      <c r="K343" t="s">
        <v>17</v>
      </c>
    </row>
    <row r="344" spans="1:11">
      <c r="A344" s="1">
        <v>343</v>
      </c>
      <c r="B344">
        <v>109</v>
      </c>
      <c r="C344">
        <v>13</v>
      </c>
      <c r="D344" t="s">
        <v>26</v>
      </c>
      <c r="E344" t="s">
        <v>19</v>
      </c>
      <c r="F344">
        <v>511</v>
      </c>
      <c r="G344">
        <v>4</v>
      </c>
      <c r="H344" s="2">
        <v>44790</v>
      </c>
      <c r="I344">
        <v>33</v>
      </c>
      <c r="J344" t="s">
        <v>13</v>
      </c>
      <c r="K344" t="s">
        <v>30</v>
      </c>
    </row>
    <row r="345" spans="1:11">
      <c r="A345" s="1">
        <v>344</v>
      </c>
      <c r="B345">
        <v>179</v>
      </c>
      <c r="C345">
        <v>34</v>
      </c>
      <c r="D345" t="s">
        <v>11</v>
      </c>
      <c r="E345" t="s">
        <v>19</v>
      </c>
      <c r="F345">
        <v>439</v>
      </c>
      <c r="G345">
        <v>1</v>
      </c>
      <c r="H345" s="2">
        <v>44902</v>
      </c>
      <c r="I345">
        <v>21</v>
      </c>
      <c r="J345" t="s">
        <v>16</v>
      </c>
      <c r="K345" t="s">
        <v>22</v>
      </c>
    </row>
    <row r="346" spans="1:11">
      <c r="A346" s="1">
        <v>345</v>
      </c>
      <c r="B346">
        <v>152</v>
      </c>
      <c r="C346">
        <v>4</v>
      </c>
      <c r="D346" t="s">
        <v>27</v>
      </c>
      <c r="E346" t="s">
        <v>23</v>
      </c>
      <c r="F346">
        <v>102</v>
      </c>
      <c r="G346">
        <v>4</v>
      </c>
      <c r="H346" s="2">
        <v>44627</v>
      </c>
      <c r="I346">
        <v>54</v>
      </c>
      <c r="J346" t="s">
        <v>13</v>
      </c>
      <c r="K346" t="s">
        <v>22</v>
      </c>
    </row>
    <row r="347" spans="1:11">
      <c r="A347" s="1">
        <v>346</v>
      </c>
      <c r="B347">
        <v>152</v>
      </c>
      <c r="C347">
        <v>28</v>
      </c>
      <c r="D347" t="s">
        <v>21</v>
      </c>
      <c r="E347" t="s">
        <v>12</v>
      </c>
      <c r="F347">
        <v>779</v>
      </c>
      <c r="G347">
        <v>3</v>
      </c>
      <c r="H347" s="2">
        <v>44636</v>
      </c>
      <c r="I347">
        <v>38</v>
      </c>
      <c r="J347" t="s">
        <v>16</v>
      </c>
      <c r="K347" t="s">
        <v>14</v>
      </c>
    </row>
    <row r="348" spans="1:11">
      <c r="A348" s="1">
        <v>347</v>
      </c>
      <c r="B348">
        <v>17</v>
      </c>
      <c r="C348">
        <v>38</v>
      </c>
      <c r="D348" t="s">
        <v>27</v>
      </c>
      <c r="E348" t="s">
        <v>12</v>
      </c>
      <c r="F348">
        <v>389</v>
      </c>
      <c r="G348">
        <v>4</v>
      </c>
      <c r="H348" s="2">
        <v>44664</v>
      </c>
      <c r="I348">
        <v>31</v>
      </c>
      <c r="J348" t="s">
        <v>16</v>
      </c>
      <c r="K348" t="s">
        <v>22</v>
      </c>
    </row>
    <row r="349" spans="1:11">
      <c r="A349" s="1">
        <v>348</v>
      </c>
      <c r="B349">
        <v>133</v>
      </c>
      <c r="C349">
        <v>31</v>
      </c>
      <c r="D349" t="s">
        <v>28</v>
      </c>
      <c r="E349" t="s">
        <v>12</v>
      </c>
      <c r="F349">
        <v>841</v>
      </c>
      <c r="G349">
        <v>3</v>
      </c>
      <c r="H349" s="2">
        <v>44753</v>
      </c>
      <c r="I349">
        <v>48</v>
      </c>
      <c r="J349" t="s">
        <v>16</v>
      </c>
      <c r="K349" t="s">
        <v>20</v>
      </c>
    </row>
    <row r="350" spans="1:11">
      <c r="A350" s="1">
        <v>349</v>
      </c>
      <c r="B350">
        <v>148</v>
      </c>
      <c r="C350">
        <v>27</v>
      </c>
      <c r="D350" t="s">
        <v>25</v>
      </c>
      <c r="E350" t="s">
        <v>19</v>
      </c>
      <c r="F350">
        <v>558</v>
      </c>
      <c r="G350">
        <v>4</v>
      </c>
      <c r="H350" s="2">
        <v>44813</v>
      </c>
      <c r="I350">
        <v>35</v>
      </c>
      <c r="J350" t="s">
        <v>16</v>
      </c>
      <c r="K350" t="s">
        <v>22</v>
      </c>
    </row>
    <row r="351" spans="1:11">
      <c r="A351" s="1">
        <v>350</v>
      </c>
      <c r="B351">
        <v>21</v>
      </c>
      <c r="C351">
        <v>5</v>
      </c>
      <c r="D351" t="s">
        <v>15</v>
      </c>
      <c r="E351" t="s">
        <v>23</v>
      </c>
      <c r="F351">
        <v>451</v>
      </c>
      <c r="G351">
        <v>1</v>
      </c>
      <c r="H351" s="2">
        <v>44787</v>
      </c>
      <c r="I351">
        <v>24</v>
      </c>
      <c r="J351" t="s">
        <v>13</v>
      </c>
      <c r="K351" t="s">
        <v>17</v>
      </c>
    </row>
    <row r="352" spans="1:11">
      <c r="A352" s="1">
        <v>351</v>
      </c>
      <c r="B352">
        <v>58</v>
      </c>
      <c r="C352">
        <v>25</v>
      </c>
      <c r="D352" t="s">
        <v>21</v>
      </c>
      <c r="E352" t="s">
        <v>23</v>
      </c>
      <c r="F352">
        <v>439</v>
      </c>
      <c r="G352">
        <v>4</v>
      </c>
      <c r="H352" s="2">
        <v>44855</v>
      </c>
      <c r="I352">
        <v>27</v>
      </c>
      <c r="J352" t="s">
        <v>16</v>
      </c>
      <c r="K352" t="s">
        <v>17</v>
      </c>
    </row>
    <row r="353" spans="1:11">
      <c r="A353" s="1">
        <v>352</v>
      </c>
      <c r="B353">
        <v>159</v>
      </c>
      <c r="C353">
        <v>3</v>
      </c>
      <c r="D353" t="s">
        <v>21</v>
      </c>
      <c r="E353" t="s">
        <v>12</v>
      </c>
      <c r="F353">
        <v>971</v>
      </c>
      <c r="G353">
        <v>1</v>
      </c>
      <c r="H353" s="2">
        <v>44867</v>
      </c>
      <c r="I353">
        <v>24</v>
      </c>
      <c r="J353" t="s">
        <v>13</v>
      </c>
      <c r="K353" t="s">
        <v>30</v>
      </c>
    </row>
    <row r="354" spans="1:11">
      <c r="A354" s="1">
        <v>353</v>
      </c>
      <c r="B354">
        <v>110</v>
      </c>
      <c r="C354">
        <v>33</v>
      </c>
      <c r="D354" t="s">
        <v>27</v>
      </c>
      <c r="E354" t="s">
        <v>19</v>
      </c>
      <c r="F354">
        <v>416</v>
      </c>
      <c r="G354">
        <v>4</v>
      </c>
      <c r="H354" s="2">
        <v>44659</v>
      </c>
      <c r="I354">
        <v>50</v>
      </c>
      <c r="J354" t="s">
        <v>13</v>
      </c>
      <c r="K354" t="s">
        <v>24</v>
      </c>
    </row>
    <row r="355" spans="1:11">
      <c r="A355" s="1">
        <v>354</v>
      </c>
      <c r="B355">
        <v>139</v>
      </c>
      <c r="C355">
        <v>4</v>
      </c>
      <c r="D355" t="s">
        <v>21</v>
      </c>
      <c r="E355" t="s">
        <v>23</v>
      </c>
      <c r="F355">
        <v>614</v>
      </c>
      <c r="G355">
        <v>4</v>
      </c>
      <c r="H355" s="2">
        <v>44899</v>
      </c>
      <c r="I355">
        <v>40</v>
      </c>
      <c r="J355" t="s">
        <v>13</v>
      </c>
      <c r="K355" t="s">
        <v>20</v>
      </c>
    </row>
    <row r="356" spans="1:11">
      <c r="A356" s="1">
        <v>355</v>
      </c>
      <c r="B356">
        <v>180</v>
      </c>
      <c r="C356">
        <v>25</v>
      </c>
      <c r="D356" t="s">
        <v>31</v>
      </c>
      <c r="E356" t="s">
        <v>12</v>
      </c>
      <c r="F356">
        <v>798</v>
      </c>
      <c r="G356">
        <v>2</v>
      </c>
      <c r="H356" s="2">
        <v>44847</v>
      </c>
      <c r="I356">
        <v>38</v>
      </c>
      <c r="J356" t="s">
        <v>13</v>
      </c>
      <c r="K356" t="s">
        <v>30</v>
      </c>
    </row>
    <row r="357" spans="1:11">
      <c r="A357" s="1">
        <v>356</v>
      </c>
      <c r="B357">
        <v>143</v>
      </c>
      <c r="C357">
        <v>20</v>
      </c>
      <c r="D357" t="s">
        <v>31</v>
      </c>
      <c r="E357" t="s">
        <v>23</v>
      </c>
      <c r="F357">
        <v>928</v>
      </c>
      <c r="G357">
        <v>1</v>
      </c>
      <c r="H357" s="2">
        <v>44896</v>
      </c>
      <c r="I357">
        <v>36</v>
      </c>
      <c r="J357" t="s">
        <v>16</v>
      </c>
      <c r="K357" t="s">
        <v>20</v>
      </c>
    </row>
    <row r="358" spans="1:11">
      <c r="A358" s="1">
        <v>357</v>
      </c>
      <c r="B358">
        <v>135</v>
      </c>
      <c r="C358">
        <v>34</v>
      </c>
      <c r="D358" t="s">
        <v>28</v>
      </c>
      <c r="E358" t="s">
        <v>19</v>
      </c>
      <c r="F358">
        <v>51</v>
      </c>
      <c r="G358">
        <v>2</v>
      </c>
      <c r="H358" s="2">
        <v>44908</v>
      </c>
      <c r="I358">
        <v>36</v>
      </c>
      <c r="J358" t="s">
        <v>16</v>
      </c>
      <c r="K358" t="s">
        <v>24</v>
      </c>
    </row>
    <row r="359" spans="1:11">
      <c r="A359" s="1">
        <v>358</v>
      </c>
      <c r="B359">
        <v>28</v>
      </c>
      <c r="C359">
        <v>26</v>
      </c>
      <c r="D359" t="s">
        <v>15</v>
      </c>
      <c r="E359" t="s">
        <v>19</v>
      </c>
      <c r="F359">
        <v>437</v>
      </c>
      <c r="G359">
        <v>1</v>
      </c>
      <c r="H359" s="2">
        <v>44869</v>
      </c>
      <c r="I359">
        <v>53</v>
      </c>
      <c r="J359" t="s">
        <v>13</v>
      </c>
      <c r="K359" t="s">
        <v>22</v>
      </c>
    </row>
    <row r="360" spans="1:11">
      <c r="A360" s="1">
        <v>359</v>
      </c>
      <c r="B360">
        <v>51</v>
      </c>
      <c r="C360">
        <v>5</v>
      </c>
      <c r="D360" t="s">
        <v>18</v>
      </c>
      <c r="E360" t="s">
        <v>23</v>
      </c>
      <c r="F360">
        <v>865</v>
      </c>
      <c r="G360">
        <v>2</v>
      </c>
      <c r="H360" s="2">
        <v>44810</v>
      </c>
      <c r="I360">
        <v>46</v>
      </c>
      <c r="J360" t="s">
        <v>13</v>
      </c>
      <c r="K360" t="s">
        <v>22</v>
      </c>
    </row>
    <row r="361" spans="1:11">
      <c r="A361" s="1">
        <v>360</v>
      </c>
      <c r="B361">
        <v>186</v>
      </c>
      <c r="C361">
        <v>35</v>
      </c>
      <c r="D361" t="s">
        <v>11</v>
      </c>
      <c r="E361" t="s">
        <v>19</v>
      </c>
      <c r="F361">
        <v>947</v>
      </c>
      <c r="G361">
        <v>3</v>
      </c>
      <c r="H361" s="2">
        <v>44727</v>
      </c>
      <c r="I361">
        <v>35</v>
      </c>
      <c r="J361" t="s">
        <v>16</v>
      </c>
      <c r="K361" t="s">
        <v>24</v>
      </c>
    </row>
    <row r="362" spans="1:11">
      <c r="A362" s="1">
        <v>361</v>
      </c>
      <c r="B362">
        <v>5</v>
      </c>
      <c r="C362">
        <v>28</v>
      </c>
      <c r="D362" t="s">
        <v>27</v>
      </c>
      <c r="E362" t="s">
        <v>12</v>
      </c>
      <c r="F362">
        <v>389</v>
      </c>
      <c r="G362">
        <v>4</v>
      </c>
      <c r="H362" s="2">
        <v>44896</v>
      </c>
      <c r="I362">
        <v>19</v>
      </c>
      <c r="J362" t="s">
        <v>13</v>
      </c>
      <c r="K362" t="s">
        <v>30</v>
      </c>
    </row>
    <row r="363" spans="1:11">
      <c r="A363" s="1">
        <v>362</v>
      </c>
      <c r="B363">
        <v>5</v>
      </c>
      <c r="C363">
        <v>29</v>
      </c>
      <c r="D363" t="s">
        <v>11</v>
      </c>
      <c r="E363" t="s">
        <v>12</v>
      </c>
      <c r="F363">
        <v>826</v>
      </c>
      <c r="G363">
        <v>1</v>
      </c>
      <c r="H363" s="2">
        <v>44591</v>
      </c>
      <c r="I363">
        <v>18</v>
      </c>
      <c r="J363" t="s">
        <v>16</v>
      </c>
      <c r="K363" t="s">
        <v>24</v>
      </c>
    </row>
    <row r="364" spans="1:11">
      <c r="A364" s="1">
        <v>363</v>
      </c>
      <c r="B364">
        <v>94</v>
      </c>
      <c r="C364">
        <v>9</v>
      </c>
      <c r="D364" t="s">
        <v>18</v>
      </c>
      <c r="E364" t="s">
        <v>23</v>
      </c>
      <c r="F364">
        <v>947</v>
      </c>
      <c r="G364">
        <v>1</v>
      </c>
      <c r="H364" s="2">
        <v>44808</v>
      </c>
      <c r="I364">
        <v>64</v>
      </c>
      <c r="J364" t="s">
        <v>13</v>
      </c>
      <c r="K364" t="s">
        <v>14</v>
      </c>
    </row>
    <row r="365" spans="1:11">
      <c r="A365" s="1">
        <v>364</v>
      </c>
      <c r="B365">
        <v>96</v>
      </c>
      <c r="C365">
        <v>38</v>
      </c>
      <c r="D365" t="s">
        <v>27</v>
      </c>
      <c r="E365" t="s">
        <v>23</v>
      </c>
      <c r="F365">
        <v>992</v>
      </c>
      <c r="G365">
        <v>4</v>
      </c>
      <c r="H365" s="2">
        <v>44667</v>
      </c>
      <c r="I365">
        <v>22</v>
      </c>
      <c r="J365" t="s">
        <v>16</v>
      </c>
      <c r="K365" t="s">
        <v>17</v>
      </c>
    </row>
    <row r="366" spans="1:11">
      <c r="A366" s="1">
        <v>365</v>
      </c>
      <c r="B366">
        <v>8</v>
      </c>
      <c r="C366">
        <v>50</v>
      </c>
      <c r="D366" t="s">
        <v>27</v>
      </c>
      <c r="E366" t="s">
        <v>19</v>
      </c>
      <c r="F366">
        <v>752</v>
      </c>
      <c r="G366">
        <v>1</v>
      </c>
      <c r="H366" s="2">
        <v>44612</v>
      </c>
      <c r="I366">
        <v>37</v>
      </c>
      <c r="J366" t="s">
        <v>13</v>
      </c>
      <c r="K366" t="s">
        <v>30</v>
      </c>
    </row>
    <row r="367" spans="1:11">
      <c r="A367" s="1">
        <v>366</v>
      </c>
      <c r="B367">
        <v>64</v>
      </c>
      <c r="C367">
        <v>6</v>
      </c>
      <c r="D367" t="s">
        <v>15</v>
      </c>
      <c r="E367" t="s">
        <v>19</v>
      </c>
      <c r="F367">
        <v>345</v>
      </c>
      <c r="G367">
        <v>1</v>
      </c>
      <c r="H367" s="2">
        <v>44642</v>
      </c>
      <c r="I367">
        <v>28</v>
      </c>
      <c r="J367" t="s">
        <v>13</v>
      </c>
      <c r="K367" t="s">
        <v>20</v>
      </c>
    </row>
    <row r="368" spans="1:11">
      <c r="A368" s="1">
        <v>367</v>
      </c>
      <c r="B368">
        <v>138</v>
      </c>
      <c r="C368">
        <v>19</v>
      </c>
      <c r="D368" t="s">
        <v>11</v>
      </c>
      <c r="E368" t="s">
        <v>12</v>
      </c>
      <c r="F368">
        <v>155</v>
      </c>
      <c r="G368">
        <v>2</v>
      </c>
      <c r="H368" s="2">
        <v>44694</v>
      </c>
      <c r="I368">
        <v>59</v>
      </c>
      <c r="J368" t="s">
        <v>16</v>
      </c>
      <c r="K368" t="s">
        <v>14</v>
      </c>
    </row>
    <row r="369" spans="1:11">
      <c r="A369" s="1">
        <v>368</v>
      </c>
      <c r="B369">
        <v>38</v>
      </c>
      <c r="C369">
        <v>44</v>
      </c>
      <c r="D369" t="s">
        <v>31</v>
      </c>
      <c r="E369" t="s">
        <v>12</v>
      </c>
      <c r="F369">
        <v>871</v>
      </c>
      <c r="G369">
        <v>1</v>
      </c>
      <c r="H369" s="2">
        <v>44846</v>
      </c>
      <c r="I369">
        <v>19</v>
      </c>
      <c r="J369" t="s">
        <v>13</v>
      </c>
      <c r="K369" t="s">
        <v>30</v>
      </c>
    </row>
    <row r="370" spans="1:11">
      <c r="A370" s="1">
        <v>369</v>
      </c>
      <c r="B370">
        <v>111</v>
      </c>
      <c r="C370">
        <v>11</v>
      </c>
      <c r="D370" t="s">
        <v>26</v>
      </c>
      <c r="E370" t="s">
        <v>12</v>
      </c>
      <c r="F370">
        <v>439</v>
      </c>
      <c r="G370">
        <v>3</v>
      </c>
      <c r="H370" s="2">
        <v>44699</v>
      </c>
      <c r="I370">
        <v>20</v>
      </c>
      <c r="J370" t="s">
        <v>13</v>
      </c>
      <c r="K370" t="s">
        <v>24</v>
      </c>
    </row>
    <row r="371" spans="1:11">
      <c r="A371" s="1">
        <v>370</v>
      </c>
      <c r="B371">
        <v>112</v>
      </c>
      <c r="C371">
        <v>2</v>
      </c>
      <c r="D371" t="s">
        <v>11</v>
      </c>
      <c r="E371" t="s">
        <v>19</v>
      </c>
      <c r="F371">
        <v>821</v>
      </c>
      <c r="G371">
        <v>3</v>
      </c>
      <c r="H371" s="2">
        <v>44745</v>
      </c>
      <c r="I371">
        <v>40</v>
      </c>
      <c r="J371" t="s">
        <v>16</v>
      </c>
      <c r="K371" t="s">
        <v>24</v>
      </c>
    </row>
    <row r="372" spans="1:11">
      <c r="A372" s="1">
        <v>371</v>
      </c>
      <c r="B372">
        <v>81</v>
      </c>
      <c r="C372">
        <v>47</v>
      </c>
      <c r="D372" t="s">
        <v>25</v>
      </c>
      <c r="E372" t="s">
        <v>23</v>
      </c>
      <c r="F372">
        <v>871</v>
      </c>
      <c r="G372">
        <v>4</v>
      </c>
      <c r="H372" s="2">
        <v>44891</v>
      </c>
      <c r="I372">
        <v>29</v>
      </c>
      <c r="J372" t="s">
        <v>13</v>
      </c>
      <c r="K372" t="s">
        <v>24</v>
      </c>
    </row>
    <row r="373" spans="1:11">
      <c r="A373" s="1">
        <v>372</v>
      </c>
      <c r="B373">
        <v>136</v>
      </c>
      <c r="C373">
        <v>44</v>
      </c>
      <c r="D373" t="s">
        <v>25</v>
      </c>
      <c r="E373" t="s">
        <v>12</v>
      </c>
      <c r="F373">
        <v>798</v>
      </c>
      <c r="G373">
        <v>1</v>
      </c>
      <c r="H373" s="2">
        <v>44834</v>
      </c>
      <c r="I373">
        <v>37</v>
      </c>
      <c r="J373" t="s">
        <v>16</v>
      </c>
      <c r="K373" t="s">
        <v>24</v>
      </c>
    </row>
    <row r="374" spans="1:11">
      <c r="A374" s="1">
        <v>373</v>
      </c>
      <c r="B374">
        <v>104</v>
      </c>
      <c r="C374">
        <v>44</v>
      </c>
      <c r="D374" t="s">
        <v>27</v>
      </c>
      <c r="E374" t="s">
        <v>23</v>
      </c>
      <c r="F374">
        <v>387</v>
      </c>
      <c r="G374">
        <v>4</v>
      </c>
      <c r="H374" s="2">
        <v>44901</v>
      </c>
      <c r="I374">
        <v>22</v>
      </c>
      <c r="J374" t="s">
        <v>16</v>
      </c>
      <c r="K374" t="s">
        <v>20</v>
      </c>
    </row>
    <row r="375" spans="1:11">
      <c r="A375" s="1">
        <v>374</v>
      </c>
      <c r="B375">
        <v>153</v>
      </c>
      <c r="C375">
        <v>9</v>
      </c>
      <c r="D375" t="s">
        <v>26</v>
      </c>
      <c r="E375" t="s">
        <v>12</v>
      </c>
      <c r="F375">
        <v>251</v>
      </c>
      <c r="G375">
        <v>3</v>
      </c>
      <c r="H375" s="2">
        <v>44630</v>
      </c>
      <c r="I375">
        <v>54</v>
      </c>
      <c r="J375" t="s">
        <v>13</v>
      </c>
      <c r="K375" t="s">
        <v>14</v>
      </c>
    </row>
    <row r="376" spans="1:11">
      <c r="A376" s="1">
        <v>375</v>
      </c>
      <c r="B376">
        <v>73</v>
      </c>
      <c r="C376">
        <v>21</v>
      </c>
      <c r="D376" t="s">
        <v>29</v>
      </c>
      <c r="E376" t="s">
        <v>12</v>
      </c>
      <c r="F376">
        <v>251</v>
      </c>
      <c r="G376">
        <v>1</v>
      </c>
      <c r="H376" s="2">
        <v>44595</v>
      </c>
      <c r="I376">
        <v>55</v>
      </c>
      <c r="J376" t="s">
        <v>13</v>
      </c>
      <c r="K376" t="s">
        <v>22</v>
      </c>
    </row>
    <row r="377" spans="1:11">
      <c r="A377" s="1">
        <v>376</v>
      </c>
      <c r="B377">
        <v>194</v>
      </c>
      <c r="C377">
        <v>24</v>
      </c>
      <c r="D377" t="s">
        <v>18</v>
      </c>
      <c r="E377" t="s">
        <v>19</v>
      </c>
      <c r="F377">
        <v>389</v>
      </c>
      <c r="G377">
        <v>1</v>
      </c>
      <c r="H377" s="2">
        <v>44823</v>
      </c>
      <c r="I377">
        <v>47</v>
      </c>
      <c r="J377" t="s">
        <v>13</v>
      </c>
      <c r="K377" t="s">
        <v>17</v>
      </c>
    </row>
    <row r="378" spans="1:11">
      <c r="A378" s="1">
        <v>377</v>
      </c>
      <c r="B378">
        <v>178</v>
      </c>
      <c r="C378">
        <v>34</v>
      </c>
      <c r="D378" t="s">
        <v>28</v>
      </c>
      <c r="E378" t="s">
        <v>19</v>
      </c>
      <c r="F378">
        <v>320</v>
      </c>
      <c r="G378">
        <v>4</v>
      </c>
      <c r="H378" s="2">
        <v>44614</v>
      </c>
      <c r="I378">
        <v>26</v>
      </c>
      <c r="J378" t="s">
        <v>13</v>
      </c>
      <c r="K378" t="s">
        <v>20</v>
      </c>
    </row>
    <row r="379" spans="1:11">
      <c r="A379" s="1">
        <v>378</v>
      </c>
      <c r="B379">
        <v>195</v>
      </c>
      <c r="C379">
        <v>22</v>
      </c>
      <c r="D379" t="s">
        <v>26</v>
      </c>
      <c r="E379" t="s">
        <v>12</v>
      </c>
      <c r="F379">
        <v>387</v>
      </c>
      <c r="G379">
        <v>3</v>
      </c>
      <c r="H379" s="2">
        <v>44766</v>
      </c>
      <c r="I379">
        <v>51</v>
      </c>
      <c r="J379" t="s">
        <v>13</v>
      </c>
      <c r="K379" t="s">
        <v>20</v>
      </c>
    </row>
    <row r="380" spans="1:11">
      <c r="A380" s="1">
        <v>379</v>
      </c>
      <c r="B380">
        <v>49</v>
      </c>
      <c r="C380">
        <v>3</v>
      </c>
      <c r="D380" t="s">
        <v>28</v>
      </c>
      <c r="E380" t="s">
        <v>19</v>
      </c>
      <c r="F380">
        <v>345</v>
      </c>
      <c r="G380">
        <v>1</v>
      </c>
      <c r="H380" s="2">
        <v>44687</v>
      </c>
      <c r="I380">
        <v>61</v>
      </c>
      <c r="J380" t="s">
        <v>13</v>
      </c>
      <c r="K380" t="s">
        <v>22</v>
      </c>
    </row>
    <row r="381" spans="1:11">
      <c r="A381" s="1">
        <v>380</v>
      </c>
      <c r="B381">
        <v>36</v>
      </c>
      <c r="C381">
        <v>12</v>
      </c>
      <c r="D381" t="s">
        <v>11</v>
      </c>
      <c r="E381" t="s">
        <v>12</v>
      </c>
      <c r="F381">
        <v>841</v>
      </c>
      <c r="G381">
        <v>4</v>
      </c>
      <c r="H381" s="2">
        <v>44796</v>
      </c>
      <c r="I381">
        <v>52</v>
      </c>
      <c r="J381" t="s">
        <v>13</v>
      </c>
      <c r="K381" t="s">
        <v>22</v>
      </c>
    </row>
    <row r="382" spans="1:11">
      <c r="A382" s="1">
        <v>381</v>
      </c>
      <c r="B382">
        <v>126</v>
      </c>
      <c r="C382">
        <v>28</v>
      </c>
      <c r="D382" t="s">
        <v>11</v>
      </c>
      <c r="E382" t="s">
        <v>19</v>
      </c>
      <c r="F382">
        <v>345</v>
      </c>
      <c r="G382">
        <v>3</v>
      </c>
      <c r="H382" s="2">
        <v>44604</v>
      </c>
      <c r="I382">
        <v>39</v>
      </c>
      <c r="J382" t="s">
        <v>16</v>
      </c>
      <c r="K382" t="s">
        <v>17</v>
      </c>
    </row>
    <row r="383" spans="1:11">
      <c r="A383" s="1">
        <v>382</v>
      </c>
      <c r="B383">
        <v>68</v>
      </c>
      <c r="C383">
        <v>30</v>
      </c>
      <c r="D383" t="s">
        <v>28</v>
      </c>
      <c r="E383" t="s">
        <v>19</v>
      </c>
      <c r="F383">
        <v>776</v>
      </c>
      <c r="G383">
        <v>4</v>
      </c>
      <c r="H383" s="2">
        <v>44801</v>
      </c>
      <c r="I383">
        <v>61</v>
      </c>
      <c r="J383" t="s">
        <v>13</v>
      </c>
      <c r="K383" t="s">
        <v>17</v>
      </c>
    </row>
    <row r="384" spans="1:11">
      <c r="A384" s="1">
        <v>383</v>
      </c>
      <c r="B384">
        <v>78</v>
      </c>
      <c r="C384">
        <v>26</v>
      </c>
      <c r="D384" t="s">
        <v>18</v>
      </c>
      <c r="E384" t="s">
        <v>12</v>
      </c>
      <c r="F384">
        <v>981</v>
      </c>
      <c r="G384">
        <v>2</v>
      </c>
      <c r="H384" s="2">
        <v>44672</v>
      </c>
      <c r="I384">
        <v>41</v>
      </c>
      <c r="J384" t="s">
        <v>16</v>
      </c>
      <c r="K384" t="s">
        <v>22</v>
      </c>
    </row>
    <row r="385" spans="1:11">
      <c r="A385" s="1">
        <v>384</v>
      </c>
      <c r="B385">
        <v>105</v>
      </c>
      <c r="C385">
        <v>48</v>
      </c>
      <c r="D385" t="s">
        <v>26</v>
      </c>
      <c r="E385" t="s">
        <v>23</v>
      </c>
      <c r="F385">
        <v>319</v>
      </c>
      <c r="G385">
        <v>1</v>
      </c>
      <c r="H385" s="2">
        <v>44810</v>
      </c>
      <c r="I385">
        <v>34</v>
      </c>
      <c r="J385" t="s">
        <v>13</v>
      </c>
      <c r="K385" t="s">
        <v>24</v>
      </c>
    </row>
    <row r="386" spans="1:11">
      <c r="A386" s="1">
        <v>385</v>
      </c>
      <c r="B386">
        <v>169</v>
      </c>
      <c r="C386">
        <v>21</v>
      </c>
      <c r="D386" t="s">
        <v>29</v>
      </c>
      <c r="E386" t="s">
        <v>12</v>
      </c>
      <c r="F386">
        <v>841</v>
      </c>
      <c r="G386">
        <v>2</v>
      </c>
      <c r="H386" s="2">
        <v>44712</v>
      </c>
      <c r="I386">
        <v>27</v>
      </c>
      <c r="J386" t="s">
        <v>13</v>
      </c>
      <c r="K386" t="s">
        <v>20</v>
      </c>
    </row>
    <row r="387" spans="1:11">
      <c r="A387" s="1">
        <v>386</v>
      </c>
      <c r="B387">
        <v>122</v>
      </c>
      <c r="C387">
        <v>28</v>
      </c>
      <c r="D387" t="s">
        <v>27</v>
      </c>
      <c r="E387" t="s">
        <v>19</v>
      </c>
      <c r="F387">
        <v>439</v>
      </c>
      <c r="G387">
        <v>3</v>
      </c>
      <c r="H387" s="2">
        <v>44744</v>
      </c>
      <c r="I387">
        <v>47</v>
      </c>
      <c r="J387" t="s">
        <v>16</v>
      </c>
      <c r="K387" t="s">
        <v>30</v>
      </c>
    </row>
    <row r="388" spans="1:11">
      <c r="A388" s="1">
        <v>387</v>
      </c>
      <c r="B388">
        <v>119</v>
      </c>
      <c r="C388">
        <v>26</v>
      </c>
      <c r="D388" t="s">
        <v>15</v>
      </c>
      <c r="E388" t="s">
        <v>23</v>
      </c>
      <c r="F388">
        <v>477</v>
      </c>
      <c r="G388">
        <v>2</v>
      </c>
      <c r="H388" s="2">
        <v>44897</v>
      </c>
      <c r="I388">
        <v>63</v>
      </c>
      <c r="J388" t="s">
        <v>13</v>
      </c>
      <c r="K388" t="s">
        <v>17</v>
      </c>
    </row>
    <row r="389" spans="1:11">
      <c r="A389" s="1">
        <v>388</v>
      </c>
      <c r="B389">
        <v>190</v>
      </c>
      <c r="C389">
        <v>33</v>
      </c>
      <c r="D389" t="s">
        <v>11</v>
      </c>
      <c r="E389" t="s">
        <v>19</v>
      </c>
      <c r="F389">
        <v>141</v>
      </c>
      <c r="G389">
        <v>2</v>
      </c>
      <c r="H389" s="2">
        <v>44656</v>
      </c>
      <c r="I389">
        <v>40</v>
      </c>
      <c r="J389" t="s">
        <v>13</v>
      </c>
      <c r="K389" t="s">
        <v>17</v>
      </c>
    </row>
    <row r="390" spans="1:11">
      <c r="A390" s="1">
        <v>389</v>
      </c>
      <c r="B390">
        <v>114</v>
      </c>
      <c r="C390">
        <v>21</v>
      </c>
      <c r="D390" t="s">
        <v>25</v>
      </c>
      <c r="E390" t="s">
        <v>12</v>
      </c>
      <c r="F390">
        <v>798</v>
      </c>
      <c r="G390">
        <v>3</v>
      </c>
      <c r="H390" s="2">
        <v>44569</v>
      </c>
      <c r="I390">
        <v>49</v>
      </c>
      <c r="J390" t="s">
        <v>16</v>
      </c>
      <c r="K390" t="s">
        <v>22</v>
      </c>
    </row>
    <row r="391" spans="1:11">
      <c r="A391" s="1">
        <v>390</v>
      </c>
      <c r="B391">
        <v>10</v>
      </c>
      <c r="C391">
        <v>35</v>
      </c>
      <c r="D391" t="s">
        <v>18</v>
      </c>
      <c r="E391" t="s">
        <v>19</v>
      </c>
      <c r="F391">
        <v>865</v>
      </c>
      <c r="G391">
        <v>4</v>
      </c>
      <c r="H391" s="2">
        <v>44921</v>
      </c>
      <c r="I391">
        <v>34</v>
      </c>
      <c r="J391" t="s">
        <v>13</v>
      </c>
      <c r="K391" t="s">
        <v>14</v>
      </c>
    </row>
    <row r="392" spans="1:11">
      <c r="A392" s="1">
        <v>391</v>
      </c>
      <c r="B392">
        <v>149</v>
      </c>
      <c r="C392">
        <v>34</v>
      </c>
      <c r="D392" t="s">
        <v>15</v>
      </c>
      <c r="E392" t="s">
        <v>12</v>
      </c>
      <c r="F392">
        <v>776</v>
      </c>
      <c r="G392">
        <v>2</v>
      </c>
      <c r="H392" s="2">
        <v>44745</v>
      </c>
      <c r="I392">
        <v>34</v>
      </c>
      <c r="J392" t="s">
        <v>13</v>
      </c>
      <c r="K392" t="s">
        <v>30</v>
      </c>
    </row>
    <row r="393" spans="1:11">
      <c r="A393" s="1">
        <v>392</v>
      </c>
      <c r="B393">
        <v>164</v>
      </c>
      <c r="C393">
        <v>41</v>
      </c>
      <c r="D393" t="s">
        <v>29</v>
      </c>
      <c r="E393" t="s">
        <v>12</v>
      </c>
      <c r="F393">
        <v>615</v>
      </c>
      <c r="G393">
        <v>4</v>
      </c>
      <c r="H393" s="2">
        <v>44842</v>
      </c>
      <c r="I393">
        <v>31</v>
      </c>
      <c r="J393" t="s">
        <v>13</v>
      </c>
      <c r="K393" t="s">
        <v>30</v>
      </c>
    </row>
    <row r="394" spans="1:11">
      <c r="A394" s="1">
        <v>393</v>
      </c>
      <c r="B394">
        <v>140</v>
      </c>
      <c r="C394">
        <v>47</v>
      </c>
      <c r="D394" t="s">
        <v>21</v>
      </c>
      <c r="E394" t="s">
        <v>19</v>
      </c>
      <c r="F394">
        <v>751</v>
      </c>
      <c r="G394">
        <v>2</v>
      </c>
      <c r="H394" s="2">
        <v>44756</v>
      </c>
      <c r="I394">
        <v>26</v>
      </c>
      <c r="J394" t="s">
        <v>16</v>
      </c>
      <c r="K394" t="s">
        <v>17</v>
      </c>
    </row>
    <row r="395" spans="1:11">
      <c r="A395" s="1">
        <v>394</v>
      </c>
      <c r="B395">
        <v>91</v>
      </c>
      <c r="C395">
        <v>18</v>
      </c>
      <c r="D395" t="s">
        <v>27</v>
      </c>
      <c r="E395" t="s">
        <v>19</v>
      </c>
      <c r="F395">
        <v>389</v>
      </c>
      <c r="G395">
        <v>4</v>
      </c>
      <c r="H395" s="2">
        <v>44913</v>
      </c>
      <c r="I395">
        <v>57</v>
      </c>
      <c r="J395" t="s">
        <v>13</v>
      </c>
      <c r="K395" t="s">
        <v>24</v>
      </c>
    </row>
    <row r="396" spans="1:11">
      <c r="A396" s="1">
        <v>395</v>
      </c>
      <c r="B396">
        <v>2</v>
      </c>
      <c r="C396">
        <v>11</v>
      </c>
      <c r="D396" t="s">
        <v>11</v>
      </c>
      <c r="E396" t="s">
        <v>23</v>
      </c>
      <c r="F396">
        <v>345</v>
      </c>
      <c r="G396">
        <v>3</v>
      </c>
      <c r="H396" s="2">
        <v>44756</v>
      </c>
      <c r="I396">
        <v>19</v>
      </c>
      <c r="J396" t="s">
        <v>13</v>
      </c>
      <c r="K396" t="s">
        <v>14</v>
      </c>
    </row>
    <row r="397" spans="1:11">
      <c r="A397" s="1">
        <v>396</v>
      </c>
      <c r="B397">
        <v>118</v>
      </c>
      <c r="C397">
        <v>23</v>
      </c>
      <c r="D397" t="s">
        <v>27</v>
      </c>
      <c r="E397" t="s">
        <v>19</v>
      </c>
      <c r="F397">
        <v>155</v>
      </c>
      <c r="G397">
        <v>2</v>
      </c>
      <c r="H397" s="2">
        <v>44716</v>
      </c>
      <c r="I397">
        <v>62</v>
      </c>
      <c r="J397" t="s">
        <v>13</v>
      </c>
      <c r="K397" t="s">
        <v>30</v>
      </c>
    </row>
    <row r="398" spans="1:11">
      <c r="A398" s="1">
        <v>397</v>
      </c>
      <c r="B398">
        <v>13</v>
      </c>
      <c r="C398">
        <v>48</v>
      </c>
      <c r="D398" t="s">
        <v>15</v>
      </c>
      <c r="E398" t="s">
        <v>23</v>
      </c>
      <c r="F398">
        <v>611</v>
      </c>
      <c r="G398">
        <v>3</v>
      </c>
      <c r="H398" s="2">
        <v>44654</v>
      </c>
      <c r="I398">
        <v>42</v>
      </c>
      <c r="J398" t="s">
        <v>13</v>
      </c>
      <c r="K398" t="s">
        <v>17</v>
      </c>
    </row>
    <row r="399" spans="1:11">
      <c r="A399" s="1">
        <v>398</v>
      </c>
      <c r="B399">
        <v>181</v>
      </c>
      <c r="C399">
        <v>22</v>
      </c>
      <c r="D399" t="s">
        <v>27</v>
      </c>
      <c r="E399" t="s">
        <v>23</v>
      </c>
      <c r="F399">
        <v>992</v>
      </c>
      <c r="G399">
        <v>2</v>
      </c>
      <c r="H399" s="2">
        <v>44721</v>
      </c>
      <c r="I399">
        <v>56</v>
      </c>
      <c r="J399" t="s">
        <v>16</v>
      </c>
      <c r="K399" t="s">
        <v>30</v>
      </c>
    </row>
    <row r="400" spans="1:11">
      <c r="A400" s="1">
        <v>399</v>
      </c>
      <c r="B400">
        <v>160</v>
      </c>
      <c r="C400">
        <v>17</v>
      </c>
      <c r="D400" t="s">
        <v>21</v>
      </c>
      <c r="E400" t="s">
        <v>23</v>
      </c>
      <c r="F400">
        <v>155</v>
      </c>
      <c r="G400">
        <v>3</v>
      </c>
      <c r="H400" s="2">
        <v>44622</v>
      </c>
      <c r="I400">
        <v>26</v>
      </c>
      <c r="J400" t="s">
        <v>16</v>
      </c>
      <c r="K400" t="s">
        <v>14</v>
      </c>
    </row>
    <row r="401" spans="1:11">
      <c r="A401" s="1">
        <v>400</v>
      </c>
      <c r="B401">
        <v>95</v>
      </c>
      <c r="C401">
        <v>5</v>
      </c>
      <c r="D401" t="s">
        <v>15</v>
      </c>
      <c r="E401" t="s">
        <v>12</v>
      </c>
      <c r="F401">
        <v>981</v>
      </c>
      <c r="G401">
        <v>3</v>
      </c>
      <c r="H401" s="2">
        <v>44683</v>
      </c>
      <c r="I401">
        <v>39</v>
      </c>
      <c r="J401" t="s">
        <v>13</v>
      </c>
      <c r="K401" t="s">
        <v>14</v>
      </c>
    </row>
    <row r="402" spans="1:11">
      <c r="A402" s="1">
        <v>401</v>
      </c>
      <c r="B402">
        <v>144</v>
      </c>
      <c r="C402">
        <v>44</v>
      </c>
      <c r="D402" t="s">
        <v>11</v>
      </c>
      <c r="E402" t="s">
        <v>19</v>
      </c>
      <c r="F402">
        <v>614</v>
      </c>
      <c r="G402">
        <v>2</v>
      </c>
      <c r="H402" s="2">
        <v>44612</v>
      </c>
      <c r="I402">
        <v>60</v>
      </c>
      <c r="J402" t="s">
        <v>13</v>
      </c>
      <c r="K402" t="s">
        <v>20</v>
      </c>
    </row>
    <row r="403" spans="1:11">
      <c r="A403" s="1">
        <v>402</v>
      </c>
      <c r="B403">
        <v>32</v>
      </c>
      <c r="C403">
        <v>11</v>
      </c>
      <c r="D403" t="s">
        <v>26</v>
      </c>
      <c r="E403" t="s">
        <v>23</v>
      </c>
      <c r="F403">
        <v>605</v>
      </c>
      <c r="G403">
        <v>2</v>
      </c>
      <c r="H403" s="2">
        <v>44838</v>
      </c>
      <c r="I403">
        <v>63</v>
      </c>
      <c r="J403" t="s">
        <v>16</v>
      </c>
      <c r="K403" t="s">
        <v>22</v>
      </c>
    </row>
    <row r="404" spans="1:11">
      <c r="A404" s="1">
        <v>403</v>
      </c>
      <c r="B404">
        <v>32</v>
      </c>
      <c r="C404">
        <v>30</v>
      </c>
      <c r="D404" t="s">
        <v>25</v>
      </c>
      <c r="E404" t="s">
        <v>12</v>
      </c>
      <c r="F404">
        <v>615</v>
      </c>
      <c r="G404">
        <v>2</v>
      </c>
      <c r="H404" s="2">
        <v>44566</v>
      </c>
      <c r="I404">
        <v>21</v>
      </c>
      <c r="J404" t="s">
        <v>16</v>
      </c>
      <c r="K404" t="s">
        <v>22</v>
      </c>
    </row>
    <row r="405" spans="1:11">
      <c r="A405" s="1">
        <v>404</v>
      </c>
      <c r="B405">
        <v>124</v>
      </c>
      <c r="C405">
        <v>15</v>
      </c>
      <c r="D405" t="s">
        <v>15</v>
      </c>
      <c r="E405" t="s">
        <v>12</v>
      </c>
      <c r="F405">
        <v>477</v>
      </c>
      <c r="G405">
        <v>1</v>
      </c>
      <c r="H405" s="2">
        <v>44653</v>
      </c>
      <c r="I405">
        <v>43</v>
      </c>
      <c r="J405" t="s">
        <v>13</v>
      </c>
      <c r="K405" t="s">
        <v>17</v>
      </c>
    </row>
    <row r="406" spans="1:11">
      <c r="A406" s="1">
        <v>405</v>
      </c>
      <c r="B406">
        <v>11</v>
      </c>
      <c r="C406">
        <v>27</v>
      </c>
      <c r="D406" t="s">
        <v>31</v>
      </c>
      <c r="E406" t="s">
        <v>23</v>
      </c>
      <c r="F406">
        <v>779</v>
      </c>
      <c r="G406">
        <v>4</v>
      </c>
      <c r="H406" s="2">
        <v>44731</v>
      </c>
      <c r="I406">
        <v>46</v>
      </c>
      <c r="J406" t="s">
        <v>16</v>
      </c>
      <c r="K406" t="s">
        <v>14</v>
      </c>
    </row>
    <row r="407" spans="1:11">
      <c r="A407" s="1">
        <v>406</v>
      </c>
      <c r="B407">
        <v>10</v>
      </c>
      <c r="C407">
        <v>35</v>
      </c>
      <c r="D407" t="s">
        <v>21</v>
      </c>
      <c r="E407" t="s">
        <v>12</v>
      </c>
      <c r="F407">
        <v>928</v>
      </c>
      <c r="G407">
        <v>1</v>
      </c>
      <c r="H407" s="2">
        <v>44878</v>
      </c>
      <c r="I407">
        <v>62</v>
      </c>
      <c r="J407" t="s">
        <v>13</v>
      </c>
      <c r="K407" t="s">
        <v>20</v>
      </c>
    </row>
    <row r="408" spans="1:11">
      <c r="A408" s="1">
        <v>407</v>
      </c>
      <c r="B408">
        <v>15</v>
      </c>
      <c r="C408">
        <v>33</v>
      </c>
      <c r="D408" t="s">
        <v>15</v>
      </c>
      <c r="E408" t="s">
        <v>12</v>
      </c>
      <c r="F408">
        <v>505</v>
      </c>
      <c r="G408">
        <v>1</v>
      </c>
      <c r="H408" s="2">
        <v>44583</v>
      </c>
      <c r="I408">
        <v>51</v>
      </c>
      <c r="J408" t="s">
        <v>16</v>
      </c>
      <c r="K408" t="s">
        <v>20</v>
      </c>
    </row>
    <row r="409" spans="1:11">
      <c r="A409" s="1">
        <v>408</v>
      </c>
      <c r="B409">
        <v>17</v>
      </c>
      <c r="C409">
        <v>20</v>
      </c>
      <c r="D409" t="s">
        <v>15</v>
      </c>
      <c r="E409" t="s">
        <v>19</v>
      </c>
      <c r="F409">
        <v>155</v>
      </c>
      <c r="G409">
        <v>3</v>
      </c>
      <c r="H409" s="2">
        <v>44887</v>
      </c>
      <c r="I409">
        <v>40</v>
      </c>
      <c r="J409" t="s">
        <v>16</v>
      </c>
      <c r="K409" t="s">
        <v>30</v>
      </c>
    </row>
    <row r="410" spans="1:11">
      <c r="A410" s="1">
        <v>409</v>
      </c>
      <c r="B410">
        <v>168</v>
      </c>
      <c r="C410">
        <v>16</v>
      </c>
      <c r="D410" t="s">
        <v>31</v>
      </c>
      <c r="E410" t="s">
        <v>19</v>
      </c>
      <c r="F410">
        <v>84</v>
      </c>
      <c r="G410">
        <v>2</v>
      </c>
      <c r="H410" s="2">
        <v>44562</v>
      </c>
      <c r="I410">
        <v>54</v>
      </c>
      <c r="J410" t="s">
        <v>16</v>
      </c>
      <c r="K410" t="s">
        <v>30</v>
      </c>
    </row>
    <row r="411" spans="1:11">
      <c r="A411" s="1">
        <v>410</v>
      </c>
      <c r="B411">
        <v>146</v>
      </c>
      <c r="C411">
        <v>34</v>
      </c>
      <c r="D411" t="s">
        <v>11</v>
      </c>
      <c r="E411" t="s">
        <v>19</v>
      </c>
      <c r="F411">
        <v>251</v>
      </c>
      <c r="G411">
        <v>4</v>
      </c>
      <c r="H411" s="2">
        <v>44694</v>
      </c>
      <c r="I411">
        <v>28</v>
      </c>
      <c r="J411" t="s">
        <v>16</v>
      </c>
      <c r="K411" t="s">
        <v>20</v>
      </c>
    </row>
    <row r="412" spans="1:11">
      <c r="A412" s="1">
        <v>411</v>
      </c>
      <c r="B412">
        <v>183</v>
      </c>
      <c r="C412">
        <v>2</v>
      </c>
      <c r="D412" t="s">
        <v>15</v>
      </c>
      <c r="E412" t="s">
        <v>12</v>
      </c>
      <c r="F412">
        <v>387</v>
      </c>
      <c r="G412">
        <v>3</v>
      </c>
      <c r="H412" s="2">
        <v>44794</v>
      </c>
      <c r="I412">
        <v>23</v>
      </c>
      <c r="J412" t="s">
        <v>13</v>
      </c>
      <c r="K412" t="s">
        <v>30</v>
      </c>
    </row>
    <row r="413" spans="1:11">
      <c r="A413" s="1">
        <v>412</v>
      </c>
      <c r="B413">
        <v>153</v>
      </c>
      <c r="C413">
        <v>35</v>
      </c>
      <c r="D413" t="s">
        <v>25</v>
      </c>
      <c r="E413" t="s">
        <v>19</v>
      </c>
      <c r="F413">
        <v>928</v>
      </c>
      <c r="G413">
        <v>1</v>
      </c>
      <c r="H413" s="2">
        <v>44573</v>
      </c>
      <c r="I413">
        <v>35</v>
      </c>
      <c r="J413" t="s">
        <v>16</v>
      </c>
      <c r="K413" t="s">
        <v>14</v>
      </c>
    </row>
    <row r="414" spans="1:11">
      <c r="A414" s="1">
        <v>413</v>
      </c>
      <c r="B414">
        <v>59</v>
      </c>
      <c r="C414">
        <v>40</v>
      </c>
      <c r="D414" t="s">
        <v>27</v>
      </c>
      <c r="E414" t="s">
        <v>23</v>
      </c>
      <c r="F414">
        <v>102</v>
      </c>
      <c r="G414">
        <v>2</v>
      </c>
      <c r="H414" s="2">
        <v>44907</v>
      </c>
      <c r="I414">
        <v>38</v>
      </c>
      <c r="J414" t="s">
        <v>16</v>
      </c>
      <c r="K414" t="s">
        <v>24</v>
      </c>
    </row>
    <row r="415" spans="1:11">
      <c r="A415" s="1">
        <v>414</v>
      </c>
      <c r="B415">
        <v>78</v>
      </c>
      <c r="C415">
        <v>28</v>
      </c>
      <c r="D415" t="s">
        <v>11</v>
      </c>
      <c r="E415" t="s">
        <v>19</v>
      </c>
      <c r="F415">
        <v>155</v>
      </c>
      <c r="G415">
        <v>3</v>
      </c>
      <c r="H415" s="2">
        <v>44607</v>
      </c>
      <c r="I415">
        <v>59</v>
      </c>
      <c r="J415" t="s">
        <v>13</v>
      </c>
      <c r="K415" t="s">
        <v>14</v>
      </c>
    </row>
    <row r="416" spans="1:11">
      <c r="A416" s="1">
        <v>415</v>
      </c>
      <c r="B416">
        <v>124</v>
      </c>
      <c r="C416">
        <v>47</v>
      </c>
      <c r="D416" t="s">
        <v>25</v>
      </c>
      <c r="E416" t="s">
        <v>19</v>
      </c>
      <c r="F416">
        <v>798</v>
      </c>
      <c r="G416">
        <v>2</v>
      </c>
      <c r="H416" s="2">
        <v>44595</v>
      </c>
      <c r="I416">
        <v>53</v>
      </c>
      <c r="J416" t="s">
        <v>16</v>
      </c>
      <c r="K416" t="s">
        <v>20</v>
      </c>
    </row>
    <row r="417" spans="1:11">
      <c r="A417" s="1">
        <v>416</v>
      </c>
      <c r="B417">
        <v>114</v>
      </c>
      <c r="C417">
        <v>39</v>
      </c>
      <c r="D417" t="s">
        <v>11</v>
      </c>
      <c r="E417" t="s">
        <v>19</v>
      </c>
      <c r="F417">
        <v>611</v>
      </c>
      <c r="G417">
        <v>3</v>
      </c>
      <c r="H417" s="2">
        <v>44639</v>
      </c>
      <c r="I417">
        <v>58</v>
      </c>
      <c r="J417" t="s">
        <v>16</v>
      </c>
      <c r="K417" t="s">
        <v>20</v>
      </c>
    </row>
    <row r="418" spans="1:11">
      <c r="A418" s="1">
        <v>417</v>
      </c>
      <c r="B418">
        <v>22</v>
      </c>
      <c r="C418">
        <v>6</v>
      </c>
      <c r="D418" t="s">
        <v>25</v>
      </c>
      <c r="E418" t="s">
        <v>19</v>
      </c>
      <c r="F418">
        <v>301</v>
      </c>
      <c r="G418">
        <v>2</v>
      </c>
      <c r="H418" s="2">
        <v>44779</v>
      </c>
      <c r="I418">
        <v>55</v>
      </c>
      <c r="J418" t="s">
        <v>13</v>
      </c>
      <c r="K418" t="s">
        <v>14</v>
      </c>
    </row>
    <row r="419" spans="1:11">
      <c r="A419" s="1">
        <v>418</v>
      </c>
      <c r="B419">
        <v>158</v>
      </c>
      <c r="C419">
        <v>9</v>
      </c>
      <c r="D419" t="s">
        <v>21</v>
      </c>
      <c r="E419" t="s">
        <v>23</v>
      </c>
      <c r="F419">
        <v>439</v>
      </c>
      <c r="G419">
        <v>1</v>
      </c>
      <c r="H419" s="2">
        <v>44862</v>
      </c>
      <c r="I419">
        <v>51</v>
      </c>
      <c r="J419" t="s">
        <v>16</v>
      </c>
      <c r="K419" t="s">
        <v>30</v>
      </c>
    </row>
    <row r="420" spans="1:11">
      <c r="A420" s="1">
        <v>419</v>
      </c>
      <c r="B420">
        <v>172</v>
      </c>
      <c r="C420">
        <v>20</v>
      </c>
      <c r="D420" t="s">
        <v>25</v>
      </c>
      <c r="E420" t="s">
        <v>23</v>
      </c>
      <c r="F420">
        <v>395</v>
      </c>
      <c r="G420">
        <v>4</v>
      </c>
      <c r="H420" s="2">
        <v>44634</v>
      </c>
      <c r="I420">
        <v>34</v>
      </c>
      <c r="J420" t="s">
        <v>13</v>
      </c>
      <c r="K420" t="s">
        <v>30</v>
      </c>
    </row>
    <row r="421" spans="1:11">
      <c r="A421" s="1">
        <v>420</v>
      </c>
      <c r="B421">
        <v>32</v>
      </c>
      <c r="C421">
        <v>1</v>
      </c>
      <c r="D421" t="s">
        <v>28</v>
      </c>
      <c r="E421" t="s">
        <v>12</v>
      </c>
      <c r="F421">
        <v>505</v>
      </c>
      <c r="G421">
        <v>1</v>
      </c>
      <c r="H421" s="2">
        <v>44843</v>
      </c>
      <c r="I421">
        <v>54</v>
      </c>
      <c r="J421" t="s">
        <v>13</v>
      </c>
      <c r="K421" t="s">
        <v>22</v>
      </c>
    </row>
    <row r="422" spans="1:11">
      <c r="A422" s="1">
        <v>421</v>
      </c>
      <c r="B422">
        <v>179</v>
      </c>
      <c r="C422">
        <v>8</v>
      </c>
      <c r="D422" t="s">
        <v>25</v>
      </c>
      <c r="E422" t="s">
        <v>19</v>
      </c>
      <c r="F422">
        <v>141</v>
      </c>
      <c r="G422">
        <v>4</v>
      </c>
      <c r="H422" s="2">
        <v>44810</v>
      </c>
      <c r="I422">
        <v>42</v>
      </c>
      <c r="J422" t="s">
        <v>13</v>
      </c>
      <c r="K422" t="s">
        <v>20</v>
      </c>
    </row>
    <row r="423" spans="1:11">
      <c r="A423" s="1">
        <v>422</v>
      </c>
      <c r="B423">
        <v>174</v>
      </c>
      <c r="C423">
        <v>23</v>
      </c>
      <c r="D423" t="s">
        <v>26</v>
      </c>
      <c r="E423" t="s">
        <v>23</v>
      </c>
      <c r="F423">
        <v>769</v>
      </c>
      <c r="G423">
        <v>2</v>
      </c>
      <c r="H423" s="2">
        <v>44608</v>
      </c>
      <c r="I423">
        <v>55</v>
      </c>
      <c r="J423" t="s">
        <v>13</v>
      </c>
      <c r="K423" t="s">
        <v>17</v>
      </c>
    </row>
    <row r="424" spans="1:11">
      <c r="A424" s="1">
        <v>423</v>
      </c>
      <c r="B424">
        <v>113</v>
      </c>
      <c r="C424">
        <v>3</v>
      </c>
      <c r="D424" t="s">
        <v>26</v>
      </c>
      <c r="E424" t="s">
        <v>23</v>
      </c>
      <c r="F424">
        <v>921</v>
      </c>
      <c r="G424">
        <v>3</v>
      </c>
      <c r="H424" s="2">
        <v>44682</v>
      </c>
      <c r="I424">
        <v>29</v>
      </c>
      <c r="J424" t="s">
        <v>16</v>
      </c>
      <c r="K424" t="s">
        <v>22</v>
      </c>
    </row>
    <row r="425" spans="1:11">
      <c r="A425" s="1">
        <v>424</v>
      </c>
      <c r="B425">
        <v>120</v>
      </c>
      <c r="C425">
        <v>4</v>
      </c>
      <c r="D425" t="s">
        <v>18</v>
      </c>
      <c r="E425" t="s">
        <v>19</v>
      </c>
      <c r="F425">
        <v>605</v>
      </c>
      <c r="G425">
        <v>1</v>
      </c>
      <c r="H425" s="2">
        <v>44775</v>
      </c>
      <c r="I425">
        <v>40</v>
      </c>
      <c r="J425" t="s">
        <v>13</v>
      </c>
      <c r="K425" t="s">
        <v>30</v>
      </c>
    </row>
    <row r="426" spans="1:11">
      <c r="A426" s="1">
        <v>425</v>
      </c>
      <c r="B426">
        <v>149</v>
      </c>
      <c r="C426">
        <v>25</v>
      </c>
      <c r="D426" t="s">
        <v>28</v>
      </c>
      <c r="E426" t="s">
        <v>23</v>
      </c>
      <c r="F426">
        <v>615</v>
      </c>
      <c r="G426">
        <v>4</v>
      </c>
      <c r="H426" s="2">
        <v>44800</v>
      </c>
      <c r="I426">
        <v>59</v>
      </c>
      <c r="J426" t="s">
        <v>16</v>
      </c>
      <c r="K426" t="s">
        <v>14</v>
      </c>
    </row>
    <row r="427" spans="1:11">
      <c r="A427" s="1">
        <v>426</v>
      </c>
      <c r="B427">
        <v>122</v>
      </c>
      <c r="C427">
        <v>47</v>
      </c>
      <c r="D427" t="s">
        <v>28</v>
      </c>
      <c r="E427" t="s">
        <v>23</v>
      </c>
      <c r="F427">
        <v>319</v>
      </c>
      <c r="G427">
        <v>1</v>
      </c>
      <c r="H427" s="2">
        <v>44617</v>
      </c>
      <c r="I427">
        <v>39</v>
      </c>
      <c r="J427" t="s">
        <v>16</v>
      </c>
      <c r="K427" t="s">
        <v>30</v>
      </c>
    </row>
    <row r="428" spans="1:11">
      <c r="A428" s="1">
        <v>427</v>
      </c>
      <c r="B428">
        <v>32</v>
      </c>
      <c r="C428">
        <v>38</v>
      </c>
      <c r="D428" t="s">
        <v>27</v>
      </c>
      <c r="E428" t="s">
        <v>19</v>
      </c>
      <c r="F428">
        <v>605</v>
      </c>
      <c r="G428">
        <v>4</v>
      </c>
      <c r="H428" s="2">
        <v>44911</v>
      </c>
      <c r="I428">
        <v>38</v>
      </c>
      <c r="J428" t="s">
        <v>16</v>
      </c>
      <c r="K428" t="s">
        <v>14</v>
      </c>
    </row>
    <row r="429" spans="1:11">
      <c r="A429" s="1">
        <v>428</v>
      </c>
      <c r="B429">
        <v>119</v>
      </c>
      <c r="C429">
        <v>15</v>
      </c>
      <c r="D429" t="s">
        <v>28</v>
      </c>
      <c r="E429" t="s">
        <v>19</v>
      </c>
      <c r="F429">
        <v>611</v>
      </c>
      <c r="G429">
        <v>1</v>
      </c>
      <c r="H429" s="2">
        <v>44668</v>
      </c>
      <c r="I429">
        <v>44</v>
      </c>
      <c r="J429" t="s">
        <v>16</v>
      </c>
      <c r="K429" t="s">
        <v>22</v>
      </c>
    </row>
    <row r="430" spans="1:11">
      <c r="A430" s="1">
        <v>429</v>
      </c>
      <c r="B430">
        <v>39</v>
      </c>
      <c r="C430">
        <v>21</v>
      </c>
      <c r="D430" t="s">
        <v>27</v>
      </c>
      <c r="E430" t="s">
        <v>19</v>
      </c>
      <c r="F430">
        <v>774</v>
      </c>
      <c r="G430">
        <v>4</v>
      </c>
      <c r="H430" s="2">
        <v>44880</v>
      </c>
      <c r="I430">
        <v>48</v>
      </c>
      <c r="J430" t="s">
        <v>16</v>
      </c>
      <c r="K430" t="s">
        <v>20</v>
      </c>
    </row>
    <row r="431" spans="1:11">
      <c r="A431" s="1">
        <v>430</v>
      </c>
      <c r="B431">
        <v>12</v>
      </c>
      <c r="C431">
        <v>35</v>
      </c>
      <c r="D431" t="s">
        <v>18</v>
      </c>
      <c r="E431" t="s">
        <v>23</v>
      </c>
      <c r="F431">
        <v>251</v>
      </c>
      <c r="G431">
        <v>4</v>
      </c>
      <c r="H431" s="2">
        <v>44609</v>
      </c>
      <c r="I431">
        <v>23</v>
      </c>
      <c r="J431" t="s">
        <v>16</v>
      </c>
      <c r="K431" t="s">
        <v>30</v>
      </c>
    </row>
    <row r="432" spans="1:11">
      <c r="A432" s="1">
        <v>431</v>
      </c>
      <c r="B432">
        <v>175</v>
      </c>
      <c r="C432">
        <v>46</v>
      </c>
      <c r="D432" t="s">
        <v>18</v>
      </c>
      <c r="E432" t="s">
        <v>23</v>
      </c>
      <c r="F432">
        <v>345</v>
      </c>
      <c r="G432">
        <v>2</v>
      </c>
      <c r="H432" s="2">
        <v>44622</v>
      </c>
      <c r="I432">
        <v>44</v>
      </c>
      <c r="J432" t="s">
        <v>16</v>
      </c>
      <c r="K432" t="s">
        <v>14</v>
      </c>
    </row>
    <row r="433" spans="1:11">
      <c r="A433" s="1">
        <v>432</v>
      </c>
      <c r="B433">
        <v>18</v>
      </c>
      <c r="C433">
        <v>14</v>
      </c>
      <c r="D433" t="s">
        <v>21</v>
      </c>
      <c r="E433" t="s">
        <v>23</v>
      </c>
      <c r="F433">
        <v>255</v>
      </c>
      <c r="G433">
        <v>4</v>
      </c>
      <c r="H433" s="2">
        <v>44898</v>
      </c>
      <c r="I433">
        <v>57</v>
      </c>
      <c r="J433" t="s">
        <v>16</v>
      </c>
      <c r="K433" t="s">
        <v>20</v>
      </c>
    </row>
    <row r="434" spans="1:11">
      <c r="A434" s="1">
        <v>433</v>
      </c>
      <c r="B434">
        <v>149</v>
      </c>
      <c r="C434">
        <v>36</v>
      </c>
      <c r="D434" t="s">
        <v>26</v>
      </c>
      <c r="E434" t="s">
        <v>23</v>
      </c>
      <c r="F434">
        <v>558</v>
      </c>
      <c r="G434">
        <v>2</v>
      </c>
      <c r="H434" s="2">
        <v>44587</v>
      </c>
      <c r="I434">
        <v>51</v>
      </c>
      <c r="J434" t="s">
        <v>16</v>
      </c>
      <c r="K434" t="s">
        <v>17</v>
      </c>
    </row>
    <row r="435" spans="1:11">
      <c r="A435" s="1">
        <v>434</v>
      </c>
      <c r="B435">
        <v>141</v>
      </c>
      <c r="C435">
        <v>12</v>
      </c>
      <c r="D435" t="s">
        <v>25</v>
      </c>
      <c r="E435" t="s">
        <v>12</v>
      </c>
      <c r="F435">
        <v>928</v>
      </c>
      <c r="G435">
        <v>4</v>
      </c>
      <c r="H435" s="2">
        <v>44853</v>
      </c>
      <c r="I435">
        <v>29</v>
      </c>
      <c r="J435" t="s">
        <v>16</v>
      </c>
      <c r="K435" t="s">
        <v>14</v>
      </c>
    </row>
    <row r="436" spans="1:11">
      <c r="A436" s="1">
        <v>435</v>
      </c>
      <c r="B436">
        <v>149</v>
      </c>
      <c r="C436">
        <v>17</v>
      </c>
      <c r="D436" t="s">
        <v>25</v>
      </c>
      <c r="E436" t="s">
        <v>12</v>
      </c>
      <c r="F436">
        <v>320</v>
      </c>
      <c r="G436">
        <v>3</v>
      </c>
      <c r="H436" s="2">
        <v>44818</v>
      </c>
      <c r="I436">
        <v>62</v>
      </c>
      <c r="J436" t="s">
        <v>13</v>
      </c>
      <c r="K436" t="s">
        <v>22</v>
      </c>
    </row>
    <row r="437" spans="1:11">
      <c r="A437" s="1">
        <v>436</v>
      </c>
      <c r="B437">
        <v>126</v>
      </c>
      <c r="C437">
        <v>39</v>
      </c>
      <c r="D437" t="s">
        <v>31</v>
      </c>
      <c r="E437" t="s">
        <v>23</v>
      </c>
      <c r="F437">
        <v>912</v>
      </c>
      <c r="G437">
        <v>3</v>
      </c>
      <c r="H437" s="2">
        <v>44569</v>
      </c>
      <c r="I437">
        <v>24</v>
      </c>
      <c r="J437" t="s">
        <v>13</v>
      </c>
      <c r="K437" t="s">
        <v>17</v>
      </c>
    </row>
    <row r="438" spans="1:11">
      <c r="A438" s="1">
        <v>437</v>
      </c>
      <c r="B438">
        <v>136</v>
      </c>
      <c r="C438">
        <v>9</v>
      </c>
      <c r="D438" t="s">
        <v>31</v>
      </c>
      <c r="E438" t="s">
        <v>12</v>
      </c>
      <c r="F438">
        <v>477</v>
      </c>
      <c r="G438">
        <v>3</v>
      </c>
      <c r="H438" s="2">
        <v>44674</v>
      </c>
      <c r="I438">
        <v>27</v>
      </c>
      <c r="J438" t="s">
        <v>13</v>
      </c>
      <c r="K438" t="s">
        <v>17</v>
      </c>
    </row>
    <row r="439" spans="1:11">
      <c r="A439" s="1">
        <v>438</v>
      </c>
      <c r="B439">
        <v>46</v>
      </c>
      <c r="C439">
        <v>35</v>
      </c>
      <c r="D439" t="s">
        <v>29</v>
      </c>
      <c r="E439" t="s">
        <v>12</v>
      </c>
      <c r="F439">
        <v>345</v>
      </c>
      <c r="G439">
        <v>4</v>
      </c>
      <c r="H439" s="2">
        <v>44916</v>
      </c>
      <c r="I439">
        <v>62</v>
      </c>
      <c r="J439" t="s">
        <v>16</v>
      </c>
      <c r="K439" t="s">
        <v>24</v>
      </c>
    </row>
    <row r="440" spans="1:11">
      <c r="A440" s="1">
        <v>439</v>
      </c>
      <c r="B440">
        <v>104</v>
      </c>
      <c r="C440">
        <v>13</v>
      </c>
      <c r="D440" t="s">
        <v>11</v>
      </c>
      <c r="E440" t="s">
        <v>19</v>
      </c>
      <c r="F440">
        <v>451</v>
      </c>
      <c r="G440">
        <v>2</v>
      </c>
      <c r="H440" s="2">
        <v>44814</v>
      </c>
      <c r="I440">
        <v>34</v>
      </c>
      <c r="J440" t="s">
        <v>13</v>
      </c>
      <c r="K440" t="s">
        <v>30</v>
      </c>
    </row>
    <row r="441" spans="1:11">
      <c r="A441" s="1">
        <v>440</v>
      </c>
      <c r="B441">
        <v>135</v>
      </c>
      <c r="C441">
        <v>15</v>
      </c>
      <c r="D441" t="s">
        <v>21</v>
      </c>
      <c r="E441" t="s">
        <v>19</v>
      </c>
      <c r="F441">
        <v>825</v>
      </c>
      <c r="G441">
        <v>2</v>
      </c>
      <c r="H441" s="2">
        <v>44741</v>
      </c>
      <c r="I441">
        <v>43</v>
      </c>
      <c r="J441" t="s">
        <v>13</v>
      </c>
      <c r="K441" t="s">
        <v>14</v>
      </c>
    </row>
    <row r="442" spans="1:11">
      <c r="A442" s="1">
        <v>441</v>
      </c>
      <c r="B442">
        <v>151</v>
      </c>
      <c r="C442">
        <v>18</v>
      </c>
      <c r="D442" t="s">
        <v>29</v>
      </c>
      <c r="E442" t="s">
        <v>19</v>
      </c>
      <c r="F442">
        <v>255</v>
      </c>
      <c r="G442">
        <v>4</v>
      </c>
      <c r="H442" s="2">
        <v>44768</v>
      </c>
      <c r="I442">
        <v>38</v>
      </c>
      <c r="J442" t="s">
        <v>13</v>
      </c>
      <c r="K442" t="s">
        <v>17</v>
      </c>
    </row>
    <row r="443" spans="1:11">
      <c r="A443" s="1">
        <v>442</v>
      </c>
      <c r="B443">
        <v>86</v>
      </c>
      <c r="C443">
        <v>33</v>
      </c>
      <c r="D443" t="s">
        <v>29</v>
      </c>
      <c r="E443" t="s">
        <v>19</v>
      </c>
      <c r="F443">
        <v>776</v>
      </c>
      <c r="G443">
        <v>3</v>
      </c>
      <c r="H443" s="2">
        <v>44864</v>
      </c>
      <c r="I443">
        <v>45</v>
      </c>
      <c r="J443" t="s">
        <v>16</v>
      </c>
      <c r="K443" t="s">
        <v>24</v>
      </c>
    </row>
    <row r="444" spans="1:11">
      <c r="A444" s="1">
        <v>443</v>
      </c>
      <c r="B444">
        <v>150</v>
      </c>
      <c r="C444">
        <v>6</v>
      </c>
      <c r="D444" t="s">
        <v>15</v>
      </c>
      <c r="E444" t="s">
        <v>12</v>
      </c>
      <c r="F444">
        <v>928</v>
      </c>
      <c r="G444">
        <v>3</v>
      </c>
      <c r="H444" s="2">
        <v>44688</v>
      </c>
      <c r="I444">
        <v>63</v>
      </c>
      <c r="J444" t="s">
        <v>16</v>
      </c>
      <c r="K444" t="s">
        <v>22</v>
      </c>
    </row>
    <row r="445" spans="1:11">
      <c r="A445" s="1">
        <v>444</v>
      </c>
      <c r="B445">
        <v>89</v>
      </c>
      <c r="C445">
        <v>27</v>
      </c>
      <c r="D445" t="s">
        <v>15</v>
      </c>
      <c r="E445" t="s">
        <v>19</v>
      </c>
      <c r="F445">
        <v>437</v>
      </c>
      <c r="G445">
        <v>2</v>
      </c>
      <c r="H445" s="2">
        <v>44617</v>
      </c>
      <c r="I445">
        <v>19</v>
      </c>
      <c r="J445" t="s">
        <v>16</v>
      </c>
      <c r="K445" t="s">
        <v>20</v>
      </c>
    </row>
    <row r="446" spans="1:11">
      <c r="A446" s="1">
        <v>445</v>
      </c>
      <c r="B446">
        <v>22</v>
      </c>
      <c r="C446">
        <v>23</v>
      </c>
      <c r="D446" t="s">
        <v>29</v>
      </c>
      <c r="E446" t="s">
        <v>12</v>
      </c>
      <c r="F446">
        <v>130</v>
      </c>
      <c r="G446">
        <v>3</v>
      </c>
      <c r="H446" s="2">
        <v>44775</v>
      </c>
      <c r="I446">
        <v>60</v>
      </c>
      <c r="J446" t="s">
        <v>16</v>
      </c>
      <c r="K446" t="s">
        <v>14</v>
      </c>
    </row>
    <row r="447" spans="1:11">
      <c r="A447" s="1">
        <v>446</v>
      </c>
      <c r="B447">
        <v>92</v>
      </c>
      <c r="C447">
        <v>27</v>
      </c>
      <c r="D447" t="s">
        <v>28</v>
      </c>
      <c r="E447" t="s">
        <v>23</v>
      </c>
      <c r="F447">
        <v>451</v>
      </c>
      <c r="G447">
        <v>1</v>
      </c>
      <c r="H447" s="2">
        <v>44575</v>
      </c>
      <c r="I447">
        <v>18</v>
      </c>
      <c r="J447" t="s">
        <v>13</v>
      </c>
      <c r="K447" t="s">
        <v>17</v>
      </c>
    </row>
    <row r="448" spans="1:11">
      <c r="A448" s="1">
        <v>447</v>
      </c>
      <c r="B448">
        <v>29</v>
      </c>
      <c r="C448">
        <v>34</v>
      </c>
      <c r="D448" t="s">
        <v>11</v>
      </c>
      <c r="E448" t="s">
        <v>19</v>
      </c>
      <c r="F448">
        <v>821</v>
      </c>
      <c r="G448">
        <v>2</v>
      </c>
      <c r="H448" s="2">
        <v>44589</v>
      </c>
      <c r="I448">
        <v>53</v>
      </c>
      <c r="J448" t="s">
        <v>13</v>
      </c>
      <c r="K448" t="s">
        <v>30</v>
      </c>
    </row>
    <row r="449" spans="1:11">
      <c r="A449" s="1">
        <v>448</v>
      </c>
      <c r="B449">
        <v>13</v>
      </c>
      <c r="C449">
        <v>46</v>
      </c>
      <c r="D449" t="s">
        <v>21</v>
      </c>
      <c r="E449" t="s">
        <v>12</v>
      </c>
      <c r="F449">
        <v>504</v>
      </c>
      <c r="G449">
        <v>3</v>
      </c>
      <c r="H449" s="2">
        <v>44639</v>
      </c>
      <c r="I449">
        <v>43</v>
      </c>
      <c r="J449" t="s">
        <v>13</v>
      </c>
      <c r="K449" t="s">
        <v>24</v>
      </c>
    </row>
    <row r="450" spans="1:11">
      <c r="A450" s="1">
        <v>449</v>
      </c>
      <c r="B450">
        <v>2</v>
      </c>
      <c r="C450">
        <v>38</v>
      </c>
      <c r="D450" t="s">
        <v>29</v>
      </c>
      <c r="E450" t="s">
        <v>23</v>
      </c>
      <c r="F450">
        <v>774</v>
      </c>
      <c r="G450">
        <v>2</v>
      </c>
      <c r="H450" s="2">
        <v>44777</v>
      </c>
      <c r="I450">
        <v>46</v>
      </c>
      <c r="J450" t="s">
        <v>13</v>
      </c>
      <c r="K450" t="s">
        <v>17</v>
      </c>
    </row>
    <row r="451" spans="1:11">
      <c r="A451" s="1">
        <v>450</v>
      </c>
      <c r="B451">
        <v>29</v>
      </c>
      <c r="C451">
        <v>14</v>
      </c>
      <c r="D451" t="s">
        <v>25</v>
      </c>
      <c r="E451" t="s">
        <v>19</v>
      </c>
      <c r="F451">
        <v>477</v>
      </c>
      <c r="G451">
        <v>1</v>
      </c>
      <c r="H451" s="2">
        <v>44926</v>
      </c>
      <c r="I451">
        <v>38</v>
      </c>
      <c r="J451" t="s">
        <v>16</v>
      </c>
      <c r="K451" t="s">
        <v>30</v>
      </c>
    </row>
    <row r="452" spans="1:11">
      <c r="A452" s="1">
        <v>451</v>
      </c>
      <c r="B452">
        <v>180</v>
      </c>
      <c r="C452">
        <v>36</v>
      </c>
      <c r="D452" t="s">
        <v>11</v>
      </c>
      <c r="E452" t="s">
        <v>19</v>
      </c>
      <c r="F452">
        <v>928</v>
      </c>
      <c r="G452">
        <v>2</v>
      </c>
      <c r="H452" s="2">
        <v>44715</v>
      </c>
      <c r="I452">
        <v>28</v>
      </c>
      <c r="J452" t="s">
        <v>16</v>
      </c>
      <c r="K452" t="s">
        <v>17</v>
      </c>
    </row>
    <row r="453" spans="1:11">
      <c r="A453" s="1">
        <v>452</v>
      </c>
      <c r="B453">
        <v>27</v>
      </c>
      <c r="C453">
        <v>8</v>
      </c>
      <c r="D453" t="s">
        <v>15</v>
      </c>
      <c r="E453" t="s">
        <v>19</v>
      </c>
      <c r="F453">
        <v>319</v>
      </c>
      <c r="G453">
        <v>2</v>
      </c>
      <c r="H453" s="2">
        <v>44575</v>
      </c>
      <c r="I453">
        <v>57</v>
      </c>
      <c r="J453" t="s">
        <v>16</v>
      </c>
      <c r="K453" t="s">
        <v>14</v>
      </c>
    </row>
    <row r="454" spans="1:11">
      <c r="A454" s="1">
        <v>453</v>
      </c>
      <c r="B454">
        <v>50</v>
      </c>
      <c r="C454">
        <v>35</v>
      </c>
      <c r="D454" t="s">
        <v>25</v>
      </c>
      <c r="E454" t="s">
        <v>19</v>
      </c>
      <c r="F454">
        <v>319</v>
      </c>
      <c r="G454">
        <v>2</v>
      </c>
      <c r="H454" s="2">
        <v>44748</v>
      </c>
      <c r="I454">
        <v>28</v>
      </c>
      <c r="J454" t="s">
        <v>13</v>
      </c>
      <c r="K454" t="s">
        <v>14</v>
      </c>
    </row>
    <row r="455" spans="1:11">
      <c r="A455" s="1">
        <v>454</v>
      </c>
      <c r="B455">
        <v>95</v>
      </c>
      <c r="C455">
        <v>19</v>
      </c>
      <c r="D455" t="s">
        <v>15</v>
      </c>
      <c r="E455" t="s">
        <v>23</v>
      </c>
      <c r="F455">
        <v>437</v>
      </c>
      <c r="G455">
        <v>2</v>
      </c>
      <c r="H455" s="2">
        <v>44873</v>
      </c>
      <c r="I455">
        <v>53</v>
      </c>
      <c r="J455" t="s">
        <v>16</v>
      </c>
      <c r="K455" t="s">
        <v>14</v>
      </c>
    </row>
    <row r="456" spans="1:11">
      <c r="A456" s="1">
        <v>455</v>
      </c>
      <c r="B456">
        <v>151</v>
      </c>
      <c r="C456">
        <v>30</v>
      </c>
      <c r="D456" t="s">
        <v>15</v>
      </c>
      <c r="E456" t="s">
        <v>23</v>
      </c>
      <c r="F456">
        <v>614</v>
      </c>
      <c r="G456">
        <v>1</v>
      </c>
      <c r="H456" s="2">
        <v>44568</v>
      </c>
      <c r="I456">
        <v>56</v>
      </c>
      <c r="J456" t="s">
        <v>16</v>
      </c>
      <c r="K456" t="s">
        <v>22</v>
      </c>
    </row>
    <row r="457" spans="1:11">
      <c r="A457" s="1">
        <v>456</v>
      </c>
      <c r="B457">
        <v>88</v>
      </c>
      <c r="C457">
        <v>14</v>
      </c>
      <c r="D457" t="s">
        <v>11</v>
      </c>
      <c r="E457" t="s">
        <v>12</v>
      </c>
      <c r="F457">
        <v>558</v>
      </c>
      <c r="G457">
        <v>4</v>
      </c>
      <c r="H457" s="2">
        <v>44564</v>
      </c>
      <c r="I457">
        <v>57</v>
      </c>
      <c r="J457" t="s">
        <v>13</v>
      </c>
      <c r="K457" t="s">
        <v>22</v>
      </c>
    </row>
    <row r="458" spans="1:11">
      <c r="A458" s="1">
        <v>457</v>
      </c>
      <c r="B458">
        <v>44</v>
      </c>
      <c r="C458">
        <v>20</v>
      </c>
      <c r="D458" t="s">
        <v>15</v>
      </c>
      <c r="E458" t="s">
        <v>12</v>
      </c>
      <c r="F458">
        <v>301</v>
      </c>
      <c r="G458">
        <v>2</v>
      </c>
      <c r="H458" s="2">
        <v>44672</v>
      </c>
      <c r="I458">
        <v>52</v>
      </c>
      <c r="J458" t="s">
        <v>13</v>
      </c>
      <c r="K458" t="s">
        <v>24</v>
      </c>
    </row>
    <row r="459" spans="1:11">
      <c r="A459" s="1">
        <v>458</v>
      </c>
      <c r="B459">
        <v>22</v>
      </c>
      <c r="C459">
        <v>49</v>
      </c>
      <c r="D459" t="s">
        <v>18</v>
      </c>
      <c r="E459" t="s">
        <v>12</v>
      </c>
      <c r="F459">
        <v>928</v>
      </c>
      <c r="G459">
        <v>2</v>
      </c>
      <c r="H459" s="2">
        <v>44799</v>
      </c>
      <c r="I459">
        <v>51</v>
      </c>
      <c r="J459" t="s">
        <v>16</v>
      </c>
      <c r="K459" t="s">
        <v>14</v>
      </c>
    </row>
    <row r="460" spans="1:11">
      <c r="A460" s="1">
        <v>459</v>
      </c>
      <c r="B460">
        <v>171</v>
      </c>
      <c r="C460">
        <v>25</v>
      </c>
      <c r="D460" t="s">
        <v>26</v>
      </c>
      <c r="E460" t="s">
        <v>23</v>
      </c>
      <c r="F460">
        <v>345</v>
      </c>
      <c r="G460">
        <v>3</v>
      </c>
      <c r="H460" s="2">
        <v>44924</v>
      </c>
      <c r="I460">
        <v>64</v>
      </c>
      <c r="J460" t="s">
        <v>16</v>
      </c>
      <c r="K460" t="s">
        <v>30</v>
      </c>
    </row>
    <row r="461" spans="1:11">
      <c r="A461" s="1">
        <v>460</v>
      </c>
      <c r="B461">
        <v>165</v>
      </c>
      <c r="C461">
        <v>40</v>
      </c>
      <c r="D461" t="s">
        <v>18</v>
      </c>
      <c r="E461" t="s">
        <v>23</v>
      </c>
      <c r="F461">
        <v>826</v>
      </c>
      <c r="G461">
        <v>2</v>
      </c>
      <c r="H461" s="2">
        <v>44800</v>
      </c>
      <c r="I461">
        <v>41</v>
      </c>
      <c r="J461" t="s">
        <v>16</v>
      </c>
      <c r="K461" t="s">
        <v>17</v>
      </c>
    </row>
    <row r="462" spans="1:11">
      <c r="A462" s="1">
        <v>461</v>
      </c>
      <c r="B462">
        <v>189</v>
      </c>
      <c r="C462">
        <v>24</v>
      </c>
      <c r="D462" t="s">
        <v>26</v>
      </c>
      <c r="E462" t="s">
        <v>19</v>
      </c>
      <c r="F462">
        <v>779</v>
      </c>
      <c r="G462">
        <v>3</v>
      </c>
      <c r="H462" s="2">
        <v>44835</v>
      </c>
      <c r="I462">
        <v>39</v>
      </c>
      <c r="J462" t="s">
        <v>16</v>
      </c>
      <c r="K462" t="s">
        <v>20</v>
      </c>
    </row>
    <row r="463" spans="1:11">
      <c r="A463" s="1">
        <v>462</v>
      </c>
      <c r="B463">
        <v>97</v>
      </c>
      <c r="C463">
        <v>14</v>
      </c>
      <c r="D463" t="s">
        <v>31</v>
      </c>
      <c r="E463" t="s">
        <v>19</v>
      </c>
      <c r="F463">
        <v>971</v>
      </c>
      <c r="G463">
        <v>4</v>
      </c>
      <c r="H463" s="2">
        <v>44855</v>
      </c>
      <c r="I463">
        <v>22</v>
      </c>
      <c r="J463" t="s">
        <v>16</v>
      </c>
      <c r="K463" t="s">
        <v>30</v>
      </c>
    </row>
    <row r="464" spans="1:11">
      <c r="A464" s="1">
        <v>463</v>
      </c>
      <c r="B464">
        <v>184</v>
      </c>
      <c r="C464">
        <v>26</v>
      </c>
      <c r="D464" t="s">
        <v>31</v>
      </c>
      <c r="E464" t="s">
        <v>12</v>
      </c>
      <c r="F464">
        <v>912</v>
      </c>
      <c r="G464">
        <v>1</v>
      </c>
      <c r="H464" s="2">
        <v>44788</v>
      </c>
      <c r="I464">
        <v>50</v>
      </c>
      <c r="J464" t="s">
        <v>16</v>
      </c>
      <c r="K464" t="s">
        <v>22</v>
      </c>
    </row>
    <row r="465" spans="1:11">
      <c r="A465" s="1">
        <v>464</v>
      </c>
      <c r="B465">
        <v>3</v>
      </c>
      <c r="C465">
        <v>38</v>
      </c>
      <c r="D465" t="s">
        <v>15</v>
      </c>
      <c r="E465" t="s">
        <v>12</v>
      </c>
      <c r="F465">
        <v>84</v>
      </c>
      <c r="G465">
        <v>1</v>
      </c>
      <c r="H465" s="2">
        <v>44576</v>
      </c>
      <c r="I465">
        <v>53</v>
      </c>
      <c r="J465" t="s">
        <v>13</v>
      </c>
      <c r="K465" t="s">
        <v>22</v>
      </c>
    </row>
    <row r="466" spans="1:11">
      <c r="A466" s="1">
        <v>465</v>
      </c>
      <c r="B466">
        <v>191</v>
      </c>
      <c r="C466">
        <v>23</v>
      </c>
      <c r="D466" t="s">
        <v>21</v>
      </c>
      <c r="E466" t="s">
        <v>12</v>
      </c>
      <c r="F466">
        <v>826</v>
      </c>
      <c r="G466">
        <v>4</v>
      </c>
      <c r="H466" s="2">
        <v>44753</v>
      </c>
      <c r="I466">
        <v>64</v>
      </c>
      <c r="J466" t="s">
        <v>13</v>
      </c>
      <c r="K466" t="s">
        <v>30</v>
      </c>
    </row>
    <row r="467" spans="1:11">
      <c r="A467" s="1">
        <v>466</v>
      </c>
      <c r="B467">
        <v>118</v>
      </c>
      <c r="C467">
        <v>22</v>
      </c>
      <c r="D467" t="s">
        <v>21</v>
      </c>
      <c r="E467" t="s">
        <v>19</v>
      </c>
      <c r="F467">
        <v>912</v>
      </c>
      <c r="G467">
        <v>1</v>
      </c>
      <c r="H467" s="2">
        <v>44680</v>
      </c>
      <c r="I467">
        <v>37</v>
      </c>
      <c r="J467" t="s">
        <v>13</v>
      </c>
      <c r="K467" t="s">
        <v>22</v>
      </c>
    </row>
    <row r="468" spans="1:11">
      <c r="A468" s="1">
        <v>467</v>
      </c>
      <c r="B468">
        <v>19</v>
      </c>
      <c r="C468">
        <v>48</v>
      </c>
      <c r="D468" t="s">
        <v>26</v>
      </c>
      <c r="E468" t="s">
        <v>12</v>
      </c>
      <c r="F468">
        <v>779</v>
      </c>
      <c r="G468">
        <v>4</v>
      </c>
      <c r="H468" s="2">
        <v>44589</v>
      </c>
      <c r="I468">
        <v>36</v>
      </c>
      <c r="J468" t="s">
        <v>16</v>
      </c>
      <c r="K468" t="s">
        <v>14</v>
      </c>
    </row>
    <row r="469" spans="1:11">
      <c r="A469" s="1">
        <v>468</v>
      </c>
      <c r="B469">
        <v>23</v>
      </c>
      <c r="C469">
        <v>19</v>
      </c>
      <c r="D469" t="s">
        <v>25</v>
      </c>
      <c r="E469" t="s">
        <v>23</v>
      </c>
      <c r="F469">
        <v>102</v>
      </c>
      <c r="G469">
        <v>4</v>
      </c>
      <c r="H469" s="2">
        <v>44763</v>
      </c>
      <c r="I469">
        <v>52</v>
      </c>
      <c r="J469" t="s">
        <v>13</v>
      </c>
      <c r="K469" t="s">
        <v>24</v>
      </c>
    </row>
    <row r="470" spans="1:11">
      <c r="A470" s="1">
        <v>469</v>
      </c>
      <c r="B470">
        <v>157</v>
      </c>
      <c r="C470">
        <v>46</v>
      </c>
      <c r="D470" t="s">
        <v>11</v>
      </c>
      <c r="E470" t="s">
        <v>23</v>
      </c>
      <c r="F470">
        <v>928</v>
      </c>
      <c r="G470">
        <v>4</v>
      </c>
      <c r="H470" s="2">
        <v>44600</v>
      </c>
      <c r="I470">
        <v>60</v>
      </c>
      <c r="J470" t="s">
        <v>16</v>
      </c>
      <c r="K470" t="s">
        <v>17</v>
      </c>
    </row>
    <row r="471" spans="1:11">
      <c r="A471" s="1">
        <v>470</v>
      </c>
      <c r="B471">
        <v>30</v>
      </c>
      <c r="C471">
        <v>3</v>
      </c>
      <c r="D471" t="s">
        <v>15</v>
      </c>
      <c r="E471" t="s">
        <v>12</v>
      </c>
      <c r="F471">
        <v>84</v>
      </c>
      <c r="G471">
        <v>1</v>
      </c>
      <c r="H471" s="2">
        <v>44834</v>
      </c>
      <c r="I471">
        <v>34</v>
      </c>
      <c r="J471" t="s">
        <v>16</v>
      </c>
      <c r="K471" t="s">
        <v>24</v>
      </c>
    </row>
    <row r="472" spans="1:11">
      <c r="A472" s="1">
        <v>471</v>
      </c>
      <c r="B472">
        <v>39</v>
      </c>
      <c r="C472">
        <v>42</v>
      </c>
      <c r="D472" t="s">
        <v>11</v>
      </c>
      <c r="E472" t="s">
        <v>12</v>
      </c>
      <c r="F472">
        <v>102</v>
      </c>
      <c r="G472">
        <v>3</v>
      </c>
      <c r="H472" s="2">
        <v>44792</v>
      </c>
      <c r="I472">
        <v>62</v>
      </c>
      <c r="J472" t="s">
        <v>13</v>
      </c>
      <c r="K472" t="s">
        <v>17</v>
      </c>
    </row>
    <row r="473" spans="1:11">
      <c r="A473" s="1">
        <v>472</v>
      </c>
      <c r="B473">
        <v>108</v>
      </c>
      <c r="C473">
        <v>19</v>
      </c>
      <c r="D473" t="s">
        <v>18</v>
      </c>
      <c r="E473" t="s">
        <v>12</v>
      </c>
      <c r="F473">
        <v>841</v>
      </c>
      <c r="G473">
        <v>4</v>
      </c>
      <c r="H473" s="2">
        <v>44647</v>
      </c>
      <c r="I473">
        <v>60</v>
      </c>
      <c r="J473" t="s">
        <v>16</v>
      </c>
      <c r="K473" t="s">
        <v>17</v>
      </c>
    </row>
    <row r="474" spans="1:11">
      <c r="A474" s="1">
        <v>473</v>
      </c>
      <c r="B474">
        <v>111</v>
      </c>
      <c r="C474">
        <v>9</v>
      </c>
      <c r="D474" t="s">
        <v>21</v>
      </c>
      <c r="E474" t="s">
        <v>12</v>
      </c>
      <c r="F474">
        <v>779</v>
      </c>
      <c r="G474">
        <v>2</v>
      </c>
      <c r="H474" s="2">
        <v>44687</v>
      </c>
      <c r="I474">
        <v>51</v>
      </c>
      <c r="J474" t="s">
        <v>16</v>
      </c>
      <c r="K474" t="s">
        <v>24</v>
      </c>
    </row>
    <row r="475" spans="1:11">
      <c r="A475" s="1">
        <v>474</v>
      </c>
      <c r="B475">
        <v>25</v>
      </c>
      <c r="C475">
        <v>28</v>
      </c>
      <c r="D475" t="s">
        <v>28</v>
      </c>
      <c r="E475" t="s">
        <v>12</v>
      </c>
      <c r="F475">
        <v>776</v>
      </c>
      <c r="G475">
        <v>1</v>
      </c>
      <c r="H475" s="2">
        <v>44861</v>
      </c>
      <c r="I475">
        <v>26</v>
      </c>
      <c r="J475" t="s">
        <v>13</v>
      </c>
      <c r="K475" t="s">
        <v>30</v>
      </c>
    </row>
    <row r="476" spans="1:11">
      <c r="A476" s="1">
        <v>475</v>
      </c>
      <c r="B476">
        <v>128</v>
      </c>
      <c r="C476">
        <v>20</v>
      </c>
      <c r="D476" t="s">
        <v>18</v>
      </c>
      <c r="E476" t="s">
        <v>23</v>
      </c>
      <c r="F476">
        <v>821</v>
      </c>
      <c r="G476">
        <v>4</v>
      </c>
      <c r="H476" s="2">
        <v>44586</v>
      </c>
      <c r="I476">
        <v>43</v>
      </c>
      <c r="J476" t="s">
        <v>13</v>
      </c>
      <c r="K476" t="s">
        <v>17</v>
      </c>
    </row>
    <row r="477" spans="1:11">
      <c r="A477" s="1">
        <v>476</v>
      </c>
      <c r="B477">
        <v>111</v>
      </c>
      <c r="C477">
        <v>45</v>
      </c>
      <c r="D477" t="s">
        <v>18</v>
      </c>
      <c r="E477" t="s">
        <v>23</v>
      </c>
      <c r="F477">
        <v>526</v>
      </c>
      <c r="G477">
        <v>4</v>
      </c>
      <c r="H477" s="2">
        <v>44706</v>
      </c>
      <c r="I477">
        <v>19</v>
      </c>
      <c r="J477" t="s">
        <v>13</v>
      </c>
      <c r="K477" t="s">
        <v>24</v>
      </c>
    </row>
    <row r="478" spans="1:11">
      <c r="A478" s="1">
        <v>477</v>
      </c>
      <c r="B478">
        <v>136</v>
      </c>
      <c r="C478">
        <v>7</v>
      </c>
      <c r="D478" t="s">
        <v>26</v>
      </c>
      <c r="E478" t="s">
        <v>12</v>
      </c>
      <c r="F478">
        <v>611</v>
      </c>
      <c r="G478">
        <v>2</v>
      </c>
      <c r="H478" s="2">
        <v>44574</v>
      </c>
      <c r="I478">
        <v>26</v>
      </c>
      <c r="J478" t="s">
        <v>16</v>
      </c>
      <c r="K478" t="s">
        <v>17</v>
      </c>
    </row>
    <row r="479" spans="1:11">
      <c r="A479" s="1">
        <v>478</v>
      </c>
      <c r="B479">
        <v>106</v>
      </c>
      <c r="C479">
        <v>14</v>
      </c>
      <c r="D479" t="s">
        <v>27</v>
      </c>
      <c r="E479" t="s">
        <v>23</v>
      </c>
      <c r="F479">
        <v>416</v>
      </c>
      <c r="G479">
        <v>3</v>
      </c>
      <c r="H479" s="2">
        <v>44773</v>
      </c>
      <c r="I479">
        <v>26</v>
      </c>
      <c r="J479" t="s">
        <v>13</v>
      </c>
      <c r="K479" t="s">
        <v>20</v>
      </c>
    </row>
    <row r="480" spans="1:11">
      <c r="A480" s="1">
        <v>479</v>
      </c>
      <c r="B480">
        <v>186</v>
      </c>
      <c r="C480">
        <v>9</v>
      </c>
      <c r="D480" t="s">
        <v>18</v>
      </c>
      <c r="E480" t="s">
        <v>19</v>
      </c>
      <c r="F480">
        <v>84</v>
      </c>
      <c r="G480">
        <v>3</v>
      </c>
      <c r="H480" s="2">
        <v>44586</v>
      </c>
      <c r="I480">
        <v>57</v>
      </c>
      <c r="J480" t="s">
        <v>13</v>
      </c>
      <c r="K480" t="s">
        <v>30</v>
      </c>
    </row>
    <row r="481" spans="1:11">
      <c r="A481" s="1">
        <v>480</v>
      </c>
      <c r="B481">
        <v>144</v>
      </c>
      <c r="C481">
        <v>19</v>
      </c>
      <c r="D481" t="s">
        <v>15</v>
      </c>
      <c r="E481" t="s">
        <v>19</v>
      </c>
      <c r="F481">
        <v>389</v>
      </c>
      <c r="G481">
        <v>3</v>
      </c>
      <c r="H481" s="2">
        <v>44629</v>
      </c>
      <c r="I481">
        <v>34</v>
      </c>
      <c r="J481" t="s">
        <v>16</v>
      </c>
      <c r="K481" t="s">
        <v>14</v>
      </c>
    </row>
    <row r="482" spans="1:11">
      <c r="A482" s="1">
        <v>481</v>
      </c>
      <c r="B482">
        <v>72</v>
      </c>
      <c r="C482">
        <v>47</v>
      </c>
      <c r="D482" t="s">
        <v>29</v>
      </c>
      <c r="E482" t="s">
        <v>19</v>
      </c>
      <c r="F482">
        <v>526</v>
      </c>
      <c r="G482">
        <v>4</v>
      </c>
      <c r="H482" s="2">
        <v>44628</v>
      </c>
      <c r="I482">
        <v>18</v>
      </c>
      <c r="J482" t="s">
        <v>13</v>
      </c>
      <c r="K482" t="s">
        <v>17</v>
      </c>
    </row>
    <row r="483" spans="1:11">
      <c r="A483" s="1">
        <v>482</v>
      </c>
      <c r="B483">
        <v>129</v>
      </c>
      <c r="C483">
        <v>14</v>
      </c>
      <c r="D483" t="s">
        <v>29</v>
      </c>
      <c r="E483" t="s">
        <v>23</v>
      </c>
      <c r="F483">
        <v>841</v>
      </c>
      <c r="G483">
        <v>4</v>
      </c>
      <c r="H483" s="2">
        <v>44794</v>
      </c>
      <c r="I483">
        <v>42</v>
      </c>
      <c r="J483" t="s">
        <v>13</v>
      </c>
      <c r="K483" t="s">
        <v>20</v>
      </c>
    </row>
    <row r="484" spans="1:11">
      <c r="A484" s="1">
        <v>483</v>
      </c>
      <c r="B484">
        <v>108</v>
      </c>
      <c r="C484">
        <v>38</v>
      </c>
      <c r="D484" t="s">
        <v>15</v>
      </c>
      <c r="E484" t="s">
        <v>19</v>
      </c>
      <c r="F484">
        <v>614</v>
      </c>
      <c r="G484">
        <v>4</v>
      </c>
      <c r="H484" s="2">
        <v>44670</v>
      </c>
      <c r="I484">
        <v>60</v>
      </c>
      <c r="J484" t="s">
        <v>13</v>
      </c>
      <c r="K484" t="s">
        <v>14</v>
      </c>
    </row>
    <row r="485" spans="1:11">
      <c r="A485" s="1">
        <v>484</v>
      </c>
      <c r="B485">
        <v>5</v>
      </c>
      <c r="C485">
        <v>36</v>
      </c>
      <c r="D485" t="s">
        <v>27</v>
      </c>
      <c r="E485" t="s">
        <v>23</v>
      </c>
      <c r="F485">
        <v>416</v>
      </c>
      <c r="G485">
        <v>1</v>
      </c>
      <c r="H485" s="2">
        <v>44707</v>
      </c>
      <c r="I485">
        <v>57</v>
      </c>
      <c r="J485" t="s">
        <v>16</v>
      </c>
      <c r="K485" t="s">
        <v>14</v>
      </c>
    </row>
    <row r="486" spans="1:11">
      <c r="A486" s="1">
        <v>485</v>
      </c>
      <c r="B486">
        <v>3</v>
      </c>
      <c r="C486">
        <v>40</v>
      </c>
      <c r="D486" t="s">
        <v>27</v>
      </c>
      <c r="E486" t="s">
        <v>19</v>
      </c>
      <c r="F486">
        <v>841</v>
      </c>
      <c r="G486">
        <v>2</v>
      </c>
      <c r="H486" s="2">
        <v>44672</v>
      </c>
      <c r="I486">
        <v>59</v>
      </c>
      <c r="J486" t="s">
        <v>16</v>
      </c>
      <c r="K486" t="s">
        <v>17</v>
      </c>
    </row>
    <row r="487" spans="1:11">
      <c r="A487" s="1">
        <v>486</v>
      </c>
      <c r="B487">
        <v>193</v>
      </c>
      <c r="C487">
        <v>17</v>
      </c>
      <c r="D487" t="s">
        <v>26</v>
      </c>
      <c r="E487" t="s">
        <v>19</v>
      </c>
      <c r="F487">
        <v>776</v>
      </c>
      <c r="G487">
        <v>4</v>
      </c>
      <c r="H487" s="2">
        <v>44789</v>
      </c>
      <c r="I487">
        <v>42</v>
      </c>
      <c r="J487" t="s">
        <v>16</v>
      </c>
      <c r="K487" t="s">
        <v>24</v>
      </c>
    </row>
    <row r="488" spans="1:11">
      <c r="A488" s="1">
        <v>487</v>
      </c>
      <c r="B488">
        <v>132</v>
      </c>
      <c r="C488">
        <v>30</v>
      </c>
      <c r="D488" t="s">
        <v>21</v>
      </c>
      <c r="E488" t="s">
        <v>19</v>
      </c>
      <c r="F488">
        <v>826</v>
      </c>
      <c r="G488">
        <v>2</v>
      </c>
      <c r="H488" s="2">
        <v>44672</v>
      </c>
      <c r="I488">
        <v>56</v>
      </c>
      <c r="J488" t="s">
        <v>16</v>
      </c>
      <c r="K488" t="s">
        <v>17</v>
      </c>
    </row>
    <row r="489" spans="1:11">
      <c r="A489" s="1">
        <v>488</v>
      </c>
      <c r="B489">
        <v>104</v>
      </c>
      <c r="C489">
        <v>9</v>
      </c>
      <c r="D489" t="s">
        <v>11</v>
      </c>
      <c r="E489" t="s">
        <v>12</v>
      </c>
      <c r="F489">
        <v>841</v>
      </c>
      <c r="G489">
        <v>2</v>
      </c>
      <c r="H489" s="2">
        <v>44595</v>
      </c>
      <c r="I489">
        <v>52</v>
      </c>
      <c r="J489" t="s">
        <v>13</v>
      </c>
      <c r="K489" t="s">
        <v>20</v>
      </c>
    </row>
    <row r="490" spans="1:11">
      <c r="A490" s="1">
        <v>489</v>
      </c>
      <c r="B490">
        <v>64</v>
      </c>
      <c r="C490">
        <v>33</v>
      </c>
      <c r="D490" t="s">
        <v>27</v>
      </c>
      <c r="E490" t="s">
        <v>23</v>
      </c>
      <c r="F490">
        <v>611</v>
      </c>
      <c r="G490">
        <v>3</v>
      </c>
      <c r="H490" s="2">
        <v>44672</v>
      </c>
      <c r="I490">
        <v>20</v>
      </c>
      <c r="J490" t="s">
        <v>16</v>
      </c>
      <c r="K490" t="s">
        <v>14</v>
      </c>
    </row>
    <row r="491" spans="1:11">
      <c r="A491" s="1">
        <v>490</v>
      </c>
      <c r="B491">
        <v>106</v>
      </c>
      <c r="C491">
        <v>25</v>
      </c>
      <c r="D491" t="s">
        <v>28</v>
      </c>
      <c r="E491" t="s">
        <v>19</v>
      </c>
      <c r="F491">
        <v>774</v>
      </c>
      <c r="G491">
        <v>1</v>
      </c>
      <c r="H491" s="2">
        <v>44825</v>
      </c>
      <c r="I491">
        <v>54</v>
      </c>
      <c r="J491" t="s">
        <v>16</v>
      </c>
      <c r="K491" t="s">
        <v>17</v>
      </c>
    </row>
    <row r="492" spans="1:11">
      <c r="A492" s="1">
        <v>491</v>
      </c>
      <c r="B492">
        <v>98</v>
      </c>
      <c r="C492">
        <v>14</v>
      </c>
      <c r="D492" t="s">
        <v>26</v>
      </c>
      <c r="E492" t="s">
        <v>12</v>
      </c>
      <c r="F492">
        <v>871</v>
      </c>
      <c r="G492">
        <v>4</v>
      </c>
      <c r="H492" s="2">
        <v>44797</v>
      </c>
      <c r="I492">
        <v>61</v>
      </c>
      <c r="J492" t="s">
        <v>13</v>
      </c>
      <c r="K492" t="s">
        <v>24</v>
      </c>
    </row>
    <row r="493" spans="1:11">
      <c r="A493" s="1">
        <v>492</v>
      </c>
      <c r="B493">
        <v>10</v>
      </c>
      <c r="C493">
        <v>11</v>
      </c>
      <c r="D493" t="s">
        <v>31</v>
      </c>
      <c r="E493" t="s">
        <v>23</v>
      </c>
      <c r="F493">
        <v>614</v>
      </c>
      <c r="G493">
        <v>3</v>
      </c>
      <c r="H493" s="2">
        <v>44644</v>
      </c>
      <c r="I493">
        <v>61</v>
      </c>
      <c r="J493" t="s">
        <v>13</v>
      </c>
      <c r="K493" t="s">
        <v>17</v>
      </c>
    </row>
    <row r="494" spans="1:11">
      <c r="A494" s="1">
        <v>493</v>
      </c>
      <c r="B494">
        <v>149</v>
      </c>
      <c r="C494">
        <v>35</v>
      </c>
      <c r="D494" t="s">
        <v>25</v>
      </c>
      <c r="E494" t="s">
        <v>12</v>
      </c>
      <c r="F494">
        <v>130</v>
      </c>
      <c r="G494">
        <v>3</v>
      </c>
      <c r="H494" s="2">
        <v>44603</v>
      </c>
      <c r="I494">
        <v>47</v>
      </c>
      <c r="J494" t="s">
        <v>13</v>
      </c>
      <c r="K494" t="s">
        <v>30</v>
      </c>
    </row>
    <row r="495" spans="1:11">
      <c r="A495" s="1">
        <v>494</v>
      </c>
      <c r="B495">
        <v>128</v>
      </c>
      <c r="C495">
        <v>41</v>
      </c>
      <c r="D495" t="s">
        <v>31</v>
      </c>
      <c r="E495" t="s">
        <v>12</v>
      </c>
      <c r="F495">
        <v>779</v>
      </c>
      <c r="G495">
        <v>4</v>
      </c>
      <c r="H495" s="2">
        <v>44662</v>
      </c>
      <c r="I495">
        <v>55</v>
      </c>
      <c r="J495" t="s">
        <v>16</v>
      </c>
      <c r="K495" t="s">
        <v>24</v>
      </c>
    </row>
    <row r="496" spans="1:11">
      <c r="A496" s="1">
        <v>495</v>
      </c>
      <c r="B496">
        <v>46</v>
      </c>
      <c r="C496">
        <v>14</v>
      </c>
      <c r="D496" t="s">
        <v>26</v>
      </c>
      <c r="E496" t="s">
        <v>19</v>
      </c>
      <c r="F496">
        <v>774</v>
      </c>
      <c r="G496">
        <v>2</v>
      </c>
      <c r="H496" s="2">
        <v>44567</v>
      </c>
      <c r="I496">
        <v>51</v>
      </c>
      <c r="J496" t="s">
        <v>16</v>
      </c>
      <c r="K496" t="s">
        <v>20</v>
      </c>
    </row>
    <row r="497" spans="1:11">
      <c r="A497" s="1">
        <v>496</v>
      </c>
      <c r="B497">
        <v>155</v>
      </c>
      <c r="C497">
        <v>30</v>
      </c>
      <c r="D497" t="s">
        <v>18</v>
      </c>
      <c r="E497" t="s">
        <v>19</v>
      </c>
      <c r="F497">
        <v>251</v>
      </c>
      <c r="G497">
        <v>3</v>
      </c>
      <c r="H497" s="2">
        <v>44741</v>
      </c>
      <c r="I497">
        <v>29</v>
      </c>
      <c r="J497" t="s">
        <v>16</v>
      </c>
      <c r="K497" t="s">
        <v>14</v>
      </c>
    </row>
    <row r="498" spans="1:11">
      <c r="A498" s="1">
        <v>497</v>
      </c>
      <c r="B498">
        <v>66</v>
      </c>
      <c r="C498">
        <v>41</v>
      </c>
      <c r="D498" t="s">
        <v>11</v>
      </c>
      <c r="E498" t="s">
        <v>23</v>
      </c>
      <c r="F498">
        <v>526</v>
      </c>
      <c r="G498">
        <v>2</v>
      </c>
      <c r="H498" s="2">
        <v>44843</v>
      </c>
      <c r="I498">
        <v>36</v>
      </c>
      <c r="J498" t="s">
        <v>13</v>
      </c>
      <c r="K498" t="s">
        <v>17</v>
      </c>
    </row>
    <row r="499" spans="1:11">
      <c r="A499" s="1">
        <v>498</v>
      </c>
      <c r="B499">
        <v>169</v>
      </c>
      <c r="C499">
        <v>4</v>
      </c>
      <c r="D499" t="s">
        <v>25</v>
      </c>
      <c r="E499" t="s">
        <v>19</v>
      </c>
      <c r="F499">
        <v>981</v>
      </c>
      <c r="G499">
        <v>1</v>
      </c>
      <c r="H499" s="2">
        <v>44881</v>
      </c>
      <c r="I499">
        <v>54</v>
      </c>
      <c r="J499" t="s">
        <v>13</v>
      </c>
      <c r="K499" t="s">
        <v>24</v>
      </c>
    </row>
    <row r="500" spans="1:11">
      <c r="A500" s="1">
        <v>499</v>
      </c>
      <c r="B500">
        <v>112</v>
      </c>
      <c r="C500">
        <v>4</v>
      </c>
      <c r="D500" t="s">
        <v>31</v>
      </c>
      <c r="E500" t="s">
        <v>12</v>
      </c>
      <c r="F500">
        <v>871</v>
      </c>
      <c r="G500">
        <v>2</v>
      </c>
      <c r="H500" s="2">
        <v>44787</v>
      </c>
      <c r="I500">
        <v>61</v>
      </c>
      <c r="J500" t="s">
        <v>16</v>
      </c>
      <c r="K500" t="s">
        <v>30</v>
      </c>
    </row>
    <row r="501" spans="1:11">
      <c r="A501" s="1">
        <v>500</v>
      </c>
      <c r="B501">
        <v>13</v>
      </c>
      <c r="C501">
        <v>28</v>
      </c>
      <c r="D501" t="s">
        <v>25</v>
      </c>
      <c r="E501" t="s">
        <v>23</v>
      </c>
      <c r="F501">
        <v>451</v>
      </c>
      <c r="G501">
        <v>1</v>
      </c>
      <c r="H501" s="2">
        <v>44876</v>
      </c>
      <c r="I501">
        <v>34</v>
      </c>
      <c r="J501" t="s">
        <v>13</v>
      </c>
      <c r="K501" t="s">
        <v>24</v>
      </c>
    </row>
  </sheetData>
  <autoFilter ref="A1:M501" xr:uid="{7F20F17B-44DD-4756-8187-0D714631B1CF}"/>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7CFB8-E6E5-4C4A-9B7A-1792B353CFC8}">
  <dimension ref="A1:S501"/>
  <sheetViews>
    <sheetView workbookViewId="0">
      <selection activeCell="E14" sqref="E14"/>
    </sheetView>
  </sheetViews>
  <sheetFormatPr defaultRowHeight="14.5"/>
  <cols>
    <col min="1" max="1" width="8" bestFit="1" customWidth="1"/>
    <col min="2" max="2" width="11.26953125" bestFit="1" customWidth="1"/>
    <col min="3" max="3" width="10" bestFit="1" customWidth="1"/>
    <col min="4" max="4" width="13.26953125" bestFit="1" customWidth="1"/>
    <col min="5" max="5" width="10.36328125" bestFit="1" customWidth="1"/>
    <col min="6" max="6" width="9.26953125" bestFit="1" customWidth="1"/>
    <col min="7" max="7" width="7.90625" bestFit="1" customWidth="1"/>
    <col min="8" max="8" width="10.26953125" bestFit="1" customWidth="1"/>
    <col min="9" max="9" width="12.6328125" bestFit="1" customWidth="1"/>
    <col min="10" max="10" width="15.6328125" bestFit="1" customWidth="1"/>
    <col min="11" max="11" width="9.54296875" bestFit="1" customWidth="1"/>
    <col min="12" max="12" width="9.54296875" customWidth="1"/>
    <col min="13" max="13" width="11.81640625" customWidth="1"/>
    <col min="14" max="14" width="13.36328125" bestFit="1" customWidth="1"/>
    <col min="15" max="15" width="11.26953125" style="6" bestFit="1" customWidth="1"/>
    <col min="16" max="16" width="15.26953125" bestFit="1" customWidth="1"/>
    <col min="17" max="17" width="9.90625" bestFit="1" customWidth="1"/>
    <col min="18" max="18" width="10" bestFit="1" customWidth="1"/>
    <col min="19" max="19" width="15.7265625" bestFit="1" customWidth="1"/>
  </cols>
  <sheetData>
    <row r="1" spans="1:19">
      <c r="A1" s="3" t="s">
        <v>0</v>
      </c>
      <c r="B1" s="4" t="s">
        <v>1</v>
      </c>
      <c r="C1" s="4" t="s">
        <v>2</v>
      </c>
      <c r="D1" s="4" t="s">
        <v>3</v>
      </c>
      <c r="E1" s="4" t="s">
        <v>4</v>
      </c>
      <c r="F1" s="4" t="s">
        <v>5</v>
      </c>
      <c r="G1" s="4" t="s">
        <v>6</v>
      </c>
      <c r="H1" s="4" t="s">
        <v>7</v>
      </c>
      <c r="I1" s="4" t="s">
        <v>8</v>
      </c>
      <c r="J1" s="4" t="s">
        <v>9</v>
      </c>
      <c r="K1" s="4" t="s">
        <v>10</v>
      </c>
      <c r="L1" s="15" t="s">
        <v>33</v>
      </c>
      <c r="M1" s="15" t="s">
        <v>59</v>
      </c>
      <c r="N1" s="15" t="s">
        <v>77</v>
      </c>
      <c r="O1" s="16" t="s">
        <v>52</v>
      </c>
      <c r="P1" s="15" t="s">
        <v>78</v>
      </c>
      <c r="Q1" s="16" t="s">
        <v>53</v>
      </c>
      <c r="R1" s="15" t="s">
        <v>38</v>
      </c>
      <c r="S1" s="15" t="s">
        <v>39</v>
      </c>
    </row>
    <row r="2" spans="1:19">
      <c r="A2" s="1">
        <v>1</v>
      </c>
      <c r="B2">
        <v>150</v>
      </c>
      <c r="C2">
        <v>9</v>
      </c>
      <c r="D2" t="s">
        <v>11</v>
      </c>
      <c r="E2" t="s">
        <v>12</v>
      </c>
      <c r="F2">
        <v>611</v>
      </c>
      <c r="G2">
        <v>1</v>
      </c>
      <c r="H2" s="2">
        <v>44879</v>
      </c>
      <c r="I2">
        <v>62</v>
      </c>
      <c r="J2" t="s">
        <v>13</v>
      </c>
      <c r="K2" t="s">
        <v>14</v>
      </c>
      <c r="L2">
        <f>F2*G2</f>
        <v>611</v>
      </c>
      <c r="M2" t="str">
        <f>IF(I2&lt;20,"Under 20",IF(I2&lt;30,"20-29",IF(I2&lt;40,"30-39",IF(I2&lt;50,"40-49",IF(I2&lt;60,"50-59","Above 60")))))</f>
        <v>Above 60</v>
      </c>
      <c r="N2" t="s">
        <v>70</v>
      </c>
      <c r="O2" s="6">
        <v>6</v>
      </c>
      <c r="P2" t="s">
        <v>25</v>
      </c>
      <c r="Q2" s="10">
        <v>56332</v>
      </c>
      <c r="R2" t="s">
        <v>44</v>
      </c>
      <c r="S2">
        <v>54020</v>
      </c>
    </row>
    <row r="3" spans="1:19">
      <c r="A3" s="1">
        <v>2</v>
      </c>
      <c r="B3">
        <v>176</v>
      </c>
      <c r="C3">
        <v>36</v>
      </c>
      <c r="D3" t="s">
        <v>15</v>
      </c>
      <c r="E3" t="s">
        <v>12</v>
      </c>
      <c r="F3">
        <v>751</v>
      </c>
      <c r="G3">
        <v>4</v>
      </c>
      <c r="H3" s="2">
        <v>44840</v>
      </c>
      <c r="I3">
        <v>23</v>
      </c>
      <c r="J3" t="s">
        <v>16</v>
      </c>
      <c r="K3" t="s">
        <v>17</v>
      </c>
      <c r="L3">
        <f t="shared" ref="L3:L66" si="0">F3*G3</f>
        <v>3004</v>
      </c>
      <c r="M3" t="str">
        <f t="shared" ref="M3:M66" si="1">IF(I3&lt;20,"Under 20",IF(I3&lt;30,"20-29",IF(I3&lt;40,"30-39",IF(I3&lt;50,"40-49",IF(I3&lt;60,"50-59","Above 60")))))</f>
        <v>20-29</v>
      </c>
      <c r="N3" t="s">
        <v>71</v>
      </c>
      <c r="O3" s="6">
        <v>6</v>
      </c>
      <c r="P3" t="s">
        <v>31</v>
      </c>
      <c r="Q3" s="10">
        <v>61134</v>
      </c>
      <c r="R3" t="s">
        <v>43</v>
      </c>
      <c r="S3">
        <v>61316</v>
      </c>
    </row>
    <row r="4" spans="1:19">
      <c r="A4" s="1">
        <v>3</v>
      </c>
      <c r="B4">
        <v>37</v>
      </c>
      <c r="C4">
        <v>22</v>
      </c>
      <c r="D4" t="s">
        <v>18</v>
      </c>
      <c r="E4" t="s">
        <v>19</v>
      </c>
      <c r="F4">
        <v>821</v>
      </c>
      <c r="G4">
        <v>4</v>
      </c>
      <c r="H4" s="2">
        <v>44688</v>
      </c>
      <c r="I4">
        <v>54</v>
      </c>
      <c r="J4" t="s">
        <v>16</v>
      </c>
      <c r="K4" t="s">
        <v>20</v>
      </c>
      <c r="L4">
        <f t="shared" si="0"/>
        <v>3284</v>
      </c>
      <c r="M4" t="str">
        <f t="shared" si="1"/>
        <v>50-59</v>
      </c>
      <c r="N4" t="s">
        <v>73</v>
      </c>
      <c r="O4" s="6">
        <v>7</v>
      </c>
      <c r="P4" t="s">
        <v>15</v>
      </c>
      <c r="Q4" s="10">
        <v>62988</v>
      </c>
      <c r="R4" t="s">
        <v>47</v>
      </c>
      <c r="S4">
        <v>54013</v>
      </c>
    </row>
    <row r="5" spans="1:19">
      <c r="A5" s="1">
        <v>4</v>
      </c>
      <c r="B5">
        <v>143</v>
      </c>
      <c r="C5">
        <v>42</v>
      </c>
      <c r="D5" t="s">
        <v>21</v>
      </c>
      <c r="E5" t="s">
        <v>12</v>
      </c>
      <c r="F5">
        <v>395</v>
      </c>
      <c r="G5">
        <v>4</v>
      </c>
      <c r="H5" s="2">
        <v>44690</v>
      </c>
      <c r="I5">
        <v>50</v>
      </c>
      <c r="J5" t="s">
        <v>16</v>
      </c>
      <c r="K5" t="s">
        <v>14</v>
      </c>
      <c r="L5">
        <f t="shared" si="0"/>
        <v>1580</v>
      </c>
      <c r="M5" t="str">
        <f t="shared" si="1"/>
        <v>50-59</v>
      </c>
      <c r="N5" t="s">
        <v>72</v>
      </c>
      <c r="O5" s="6">
        <v>7</v>
      </c>
      <c r="P5" t="s">
        <v>29</v>
      </c>
      <c r="Q5" s="10">
        <v>64234</v>
      </c>
      <c r="R5" t="s">
        <v>40</v>
      </c>
      <c r="S5">
        <v>65379</v>
      </c>
    </row>
    <row r="6" spans="1:19">
      <c r="A6" s="1">
        <v>5</v>
      </c>
      <c r="B6">
        <v>163</v>
      </c>
      <c r="C6">
        <v>26</v>
      </c>
      <c r="D6" t="s">
        <v>18</v>
      </c>
      <c r="E6" t="s">
        <v>19</v>
      </c>
      <c r="F6">
        <v>301</v>
      </c>
      <c r="G6">
        <v>1</v>
      </c>
      <c r="H6" s="2">
        <v>44619</v>
      </c>
      <c r="I6">
        <v>39</v>
      </c>
      <c r="J6" t="s">
        <v>16</v>
      </c>
      <c r="K6" t="s">
        <v>22</v>
      </c>
      <c r="L6">
        <f t="shared" si="0"/>
        <v>301</v>
      </c>
      <c r="M6" t="str">
        <f t="shared" si="1"/>
        <v>30-39</v>
      </c>
      <c r="N6" t="s">
        <v>74</v>
      </c>
      <c r="O6" s="6">
        <v>13</v>
      </c>
      <c r="P6" t="s">
        <v>18</v>
      </c>
      <c r="Q6" s="10">
        <v>67553</v>
      </c>
      <c r="R6" t="s">
        <v>48</v>
      </c>
      <c r="S6">
        <v>64927</v>
      </c>
    </row>
    <row r="7" spans="1:19">
      <c r="A7" s="1">
        <v>6</v>
      </c>
      <c r="B7">
        <v>199</v>
      </c>
      <c r="C7">
        <v>12</v>
      </c>
      <c r="D7" t="s">
        <v>11</v>
      </c>
      <c r="E7" t="s">
        <v>23</v>
      </c>
      <c r="F7">
        <v>130</v>
      </c>
      <c r="G7">
        <v>1</v>
      </c>
      <c r="H7" s="2">
        <v>44683</v>
      </c>
      <c r="I7">
        <v>38</v>
      </c>
      <c r="J7" t="s">
        <v>13</v>
      </c>
      <c r="K7" t="s">
        <v>24</v>
      </c>
      <c r="L7">
        <f t="shared" si="0"/>
        <v>130</v>
      </c>
      <c r="M7" t="str">
        <f t="shared" si="1"/>
        <v>30-39</v>
      </c>
      <c r="P7" t="s">
        <v>21</v>
      </c>
      <c r="Q7" s="10">
        <v>68625</v>
      </c>
      <c r="R7" t="s">
        <v>46</v>
      </c>
      <c r="S7">
        <v>64948</v>
      </c>
    </row>
    <row r="8" spans="1:19">
      <c r="A8" s="1">
        <v>7</v>
      </c>
      <c r="B8">
        <v>160</v>
      </c>
      <c r="C8">
        <v>17</v>
      </c>
      <c r="D8" t="s">
        <v>25</v>
      </c>
      <c r="E8" t="s">
        <v>23</v>
      </c>
      <c r="F8">
        <v>251</v>
      </c>
      <c r="G8">
        <v>1</v>
      </c>
      <c r="H8" s="2">
        <v>44562</v>
      </c>
      <c r="I8">
        <v>23</v>
      </c>
      <c r="J8" t="s">
        <v>13</v>
      </c>
      <c r="K8" t="s">
        <v>22</v>
      </c>
      <c r="L8">
        <f t="shared" si="0"/>
        <v>251</v>
      </c>
      <c r="M8" t="str">
        <f t="shared" si="1"/>
        <v>20-29</v>
      </c>
      <c r="P8" t="s">
        <v>28</v>
      </c>
      <c r="Q8" s="10">
        <v>77642</v>
      </c>
      <c r="R8" t="s">
        <v>45</v>
      </c>
      <c r="S8">
        <v>61130</v>
      </c>
    </row>
    <row r="9" spans="1:19">
      <c r="A9" s="1">
        <v>8</v>
      </c>
      <c r="B9">
        <v>11</v>
      </c>
      <c r="C9">
        <v>14</v>
      </c>
      <c r="D9" t="s">
        <v>26</v>
      </c>
      <c r="E9" t="s">
        <v>12</v>
      </c>
      <c r="F9">
        <v>776</v>
      </c>
      <c r="G9">
        <v>3</v>
      </c>
      <c r="H9" s="2">
        <v>44800</v>
      </c>
      <c r="I9">
        <v>23</v>
      </c>
      <c r="J9" t="s">
        <v>13</v>
      </c>
      <c r="K9" t="s">
        <v>22</v>
      </c>
      <c r="L9">
        <f t="shared" si="0"/>
        <v>2328</v>
      </c>
      <c r="M9" t="str">
        <f t="shared" si="1"/>
        <v>20-29</v>
      </c>
      <c r="P9" t="s">
        <v>11</v>
      </c>
      <c r="Q9" s="10">
        <v>78999</v>
      </c>
      <c r="R9" t="s">
        <v>41</v>
      </c>
      <c r="S9">
        <v>96241</v>
      </c>
    </row>
    <row r="10" spans="1:19">
      <c r="A10" s="1">
        <v>9</v>
      </c>
      <c r="B10">
        <v>138</v>
      </c>
      <c r="C10">
        <v>14</v>
      </c>
      <c r="D10" t="s">
        <v>27</v>
      </c>
      <c r="E10" t="s">
        <v>19</v>
      </c>
      <c r="F10">
        <v>141</v>
      </c>
      <c r="G10">
        <v>1</v>
      </c>
      <c r="H10" s="2">
        <v>44851</v>
      </c>
      <c r="I10">
        <v>21</v>
      </c>
      <c r="J10" t="s">
        <v>13</v>
      </c>
      <c r="K10" t="s">
        <v>24</v>
      </c>
      <c r="L10">
        <f t="shared" si="0"/>
        <v>141</v>
      </c>
      <c r="M10" t="str">
        <f t="shared" si="1"/>
        <v>20-29</v>
      </c>
      <c r="P10" t="s">
        <v>27</v>
      </c>
      <c r="Q10" s="10">
        <v>95243</v>
      </c>
      <c r="R10" t="s">
        <v>51</v>
      </c>
      <c r="S10">
        <v>66313</v>
      </c>
    </row>
    <row r="11" spans="1:19">
      <c r="A11" s="1">
        <v>10</v>
      </c>
      <c r="B11">
        <v>78</v>
      </c>
      <c r="C11">
        <v>34</v>
      </c>
      <c r="D11" t="s">
        <v>15</v>
      </c>
      <c r="E11" t="s">
        <v>23</v>
      </c>
      <c r="F11">
        <v>826</v>
      </c>
      <c r="G11">
        <v>1</v>
      </c>
      <c r="H11" s="2">
        <v>44657</v>
      </c>
      <c r="I11">
        <v>47</v>
      </c>
      <c r="J11" t="s">
        <v>16</v>
      </c>
      <c r="K11" t="s">
        <v>22</v>
      </c>
      <c r="L11">
        <f t="shared" si="0"/>
        <v>826</v>
      </c>
      <c r="M11" t="str">
        <f t="shared" si="1"/>
        <v>40-49</v>
      </c>
      <c r="P11" t="s">
        <v>26</v>
      </c>
      <c r="Q11" s="10">
        <v>99040</v>
      </c>
      <c r="R11" t="s">
        <v>50</v>
      </c>
      <c r="S11">
        <v>51339</v>
      </c>
    </row>
    <row r="12" spans="1:19">
      <c r="A12" s="1">
        <v>11</v>
      </c>
      <c r="B12">
        <v>77</v>
      </c>
      <c r="C12">
        <v>20</v>
      </c>
      <c r="D12" t="s">
        <v>28</v>
      </c>
      <c r="E12" t="s">
        <v>19</v>
      </c>
      <c r="F12">
        <v>928</v>
      </c>
      <c r="G12">
        <v>1</v>
      </c>
      <c r="H12" s="2">
        <v>44687</v>
      </c>
      <c r="I12">
        <v>28</v>
      </c>
      <c r="J12" t="s">
        <v>13</v>
      </c>
      <c r="K12" t="s">
        <v>14</v>
      </c>
      <c r="L12">
        <f t="shared" si="0"/>
        <v>928</v>
      </c>
      <c r="M12" t="str">
        <f t="shared" si="1"/>
        <v>20-29</v>
      </c>
      <c r="R12" t="s">
        <v>49</v>
      </c>
      <c r="S12">
        <v>46723</v>
      </c>
    </row>
    <row r="13" spans="1:19">
      <c r="A13" s="1">
        <v>12</v>
      </c>
      <c r="B13">
        <v>185</v>
      </c>
      <c r="C13">
        <v>11</v>
      </c>
      <c r="D13" t="s">
        <v>28</v>
      </c>
      <c r="E13" t="s">
        <v>23</v>
      </c>
      <c r="F13">
        <v>155</v>
      </c>
      <c r="G13">
        <v>3</v>
      </c>
      <c r="H13" s="2">
        <v>44679</v>
      </c>
      <c r="I13">
        <v>47</v>
      </c>
      <c r="J13" t="s">
        <v>16</v>
      </c>
      <c r="K13" t="s">
        <v>14</v>
      </c>
      <c r="L13">
        <f t="shared" si="0"/>
        <v>465</v>
      </c>
      <c r="M13" t="str">
        <f t="shared" si="1"/>
        <v>40-49</v>
      </c>
      <c r="R13" t="s">
        <v>42</v>
      </c>
      <c r="S13">
        <v>45441</v>
      </c>
    </row>
    <row r="14" spans="1:19">
      <c r="A14" s="1">
        <v>13</v>
      </c>
      <c r="B14">
        <v>153</v>
      </c>
      <c r="C14">
        <v>16</v>
      </c>
      <c r="D14" t="s">
        <v>28</v>
      </c>
      <c r="E14" t="s">
        <v>12</v>
      </c>
      <c r="F14">
        <v>776</v>
      </c>
      <c r="G14">
        <v>1</v>
      </c>
      <c r="H14" s="2">
        <v>44609</v>
      </c>
      <c r="I14">
        <v>48</v>
      </c>
      <c r="J14" t="s">
        <v>16</v>
      </c>
      <c r="K14" t="s">
        <v>14</v>
      </c>
      <c r="L14">
        <f t="shared" si="0"/>
        <v>776</v>
      </c>
      <c r="M14" t="str">
        <f t="shared" si="1"/>
        <v>40-49</v>
      </c>
    </row>
    <row r="15" spans="1:19">
      <c r="A15" s="1">
        <v>14</v>
      </c>
      <c r="B15">
        <v>2</v>
      </c>
      <c r="C15">
        <v>31</v>
      </c>
      <c r="D15" t="s">
        <v>29</v>
      </c>
      <c r="E15" t="s">
        <v>19</v>
      </c>
      <c r="F15">
        <v>611</v>
      </c>
      <c r="G15">
        <v>4</v>
      </c>
      <c r="H15" s="2">
        <v>44650</v>
      </c>
      <c r="I15">
        <v>41</v>
      </c>
      <c r="J15" t="s">
        <v>16</v>
      </c>
      <c r="K15" t="s">
        <v>24</v>
      </c>
      <c r="L15">
        <f t="shared" si="0"/>
        <v>2444</v>
      </c>
      <c r="M15" t="str">
        <f t="shared" si="1"/>
        <v>40-49</v>
      </c>
    </row>
    <row r="16" spans="1:19">
      <c r="A16" s="1">
        <v>15</v>
      </c>
      <c r="B16">
        <v>64</v>
      </c>
      <c r="C16">
        <v>6</v>
      </c>
      <c r="D16" t="s">
        <v>28</v>
      </c>
      <c r="E16" t="s">
        <v>19</v>
      </c>
      <c r="F16">
        <v>912</v>
      </c>
      <c r="G16">
        <v>1</v>
      </c>
      <c r="H16" s="2">
        <v>44798</v>
      </c>
      <c r="I16">
        <v>26</v>
      </c>
      <c r="J16" t="s">
        <v>16</v>
      </c>
      <c r="K16" t="s">
        <v>22</v>
      </c>
      <c r="L16">
        <f t="shared" si="0"/>
        <v>912</v>
      </c>
      <c r="M16" t="str">
        <f t="shared" si="1"/>
        <v>20-29</v>
      </c>
    </row>
    <row r="17" spans="1:13">
      <c r="A17" s="1">
        <v>16</v>
      </c>
      <c r="B17">
        <v>35</v>
      </c>
      <c r="C17">
        <v>19</v>
      </c>
      <c r="D17" t="s">
        <v>27</v>
      </c>
      <c r="E17" t="s">
        <v>12</v>
      </c>
      <c r="F17">
        <v>751</v>
      </c>
      <c r="G17">
        <v>4</v>
      </c>
      <c r="H17" s="2">
        <v>44833</v>
      </c>
      <c r="I17">
        <v>20</v>
      </c>
      <c r="J17" t="s">
        <v>16</v>
      </c>
      <c r="K17" t="s">
        <v>24</v>
      </c>
      <c r="L17">
        <f t="shared" si="0"/>
        <v>3004</v>
      </c>
      <c r="M17" t="str">
        <f t="shared" si="1"/>
        <v>20-29</v>
      </c>
    </row>
    <row r="18" spans="1:13">
      <c r="A18" s="1">
        <v>17</v>
      </c>
      <c r="B18">
        <v>7</v>
      </c>
      <c r="C18">
        <v>37</v>
      </c>
      <c r="D18" t="s">
        <v>26</v>
      </c>
      <c r="E18" t="s">
        <v>23</v>
      </c>
      <c r="F18">
        <v>779</v>
      </c>
      <c r="G18">
        <v>4</v>
      </c>
      <c r="H18" s="2">
        <v>44750</v>
      </c>
      <c r="I18">
        <v>48</v>
      </c>
      <c r="J18" t="s">
        <v>13</v>
      </c>
      <c r="K18" t="s">
        <v>14</v>
      </c>
      <c r="L18">
        <f t="shared" si="0"/>
        <v>3116</v>
      </c>
      <c r="M18" t="str">
        <f t="shared" si="1"/>
        <v>40-49</v>
      </c>
    </row>
    <row r="19" spans="1:13">
      <c r="A19" s="1">
        <v>18</v>
      </c>
      <c r="B19">
        <v>85</v>
      </c>
      <c r="C19">
        <v>4</v>
      </c>
      <c r="D19" t="s">
        <v>28</v>
      </c>
      <c r="E19" t="s">
        <v>23</v>
      </c>
      <c r="F19">
        <v>477</v>
      </c>
      <c r="G19">
        <v>4</v>
      </c>
      <c r="H19" s="2">
        <v>44753</v>
      </c>
      <c r="I19">
        <v>57</v>
      </c>
      <c r="J19" t="s">
        <v>13</v>
      </c>
      <c r="K19" t="s">
        <v>22</v>
      </c>
      <c r="L19">
        <f t="shared" si="0"/>
        <v>1908</v>
      </c>
      <c r="M19" t="str">
        <f t="shared" si="1"/>
        <v>50-59</v>
      </c>
    </row>
    <row r="20" spans="1:13">
      <c r="A20" s="1">
        <v>19</v>
      </c>
      <c r="B20">
        <v>146</v>
      </c>
      <c r="C20">
        <v>47</v>
      </c>
      <c r="D20" t="s">
        <v>18</v>
      </c>
      <c r="E20" t="s">
        <v>23</v>
      </c>
      <c r="F20">
        <v>84</v>
      </c>
      <c r="G20">
        <v>3</v>
      </c>
      <c r="H20" s="2">
        <v>44630</v>
      </c>
      <c r="I20">
        <v>54</v>
      </c>
      <c r="J20" t="s">
        <v>13</v>
      </c>
      <c r="K20" t="s">
        <v>22</v>
      </c>
      <c r="L20">
        <f t="shared" si="0"/>
        <v>252</v>
      </c>
      <c r="M20" t="str">
        <f t="shared" si="1"/>
        <v>50-59</v>
      </c>
    </row>
    <row r="21" spans="1:13">
      <c r="A21" s="1">
        <v>20</v>
      </c>
      <c r="B21">
        <v>67</v>
      </c>
      <c r="C21">
        <v>4</v>
      </c>
      <c r="D21" t="s">
        <v>18</v>
      </c>
      <c r="E21" t="s">
        <v>19</v>
      </c>
      <c r="F21">
        <v>141</v>
      </c>
      <c r="G21">
        <v>3</v>
      </c>
      <c r="H21" s="2">
        <v>44839</v>
      </c>
      <c r="I21">
        <v>53</v>
      </c>
      <c r="J21" t="s">
        <v>13</v>
      </c>
      <c r="K21" t="s">
        <v>30</v>
      </c>
      <c r="L21">
        <f t="shared" si="0"/>
        <v>423</v>
      </c>
      <c r="M21" t="str">
        <f t="shared" si="1"/>
        <v>50-59</v>
      </c>
    </row>
    <row r="22" spans="1:13">
      <c r="A22" s="1">
        <v>21</v>
      </c>
      <c r="B22">
        <v>42</v>
      </c>
      <c r="C22">
        <v>20</v>
      </c>
      <c r="D22" t="s">
        <v>29</v>
      </c>
      <c r="E22" t="s">
        <v>19</v>
      </c>
      <c r="F22">
        <v>141</v>
      </c>
      <c r="G22">
        <v>3</v>
      </c>
      <c r="H22" s="2">
        <v>44910</v>
      </c>
      <c r="I22">
        <v>41</v>
      </c>
      <c r="J22" t="s">
        <v>16</v>
      </c>
      <c r="K22" t="s">
        <v>30</v>
      </c>
      <c r="L22">
        <f t="shared" si="0"/>
        <v>423</v>
      </c>
      <c r="M22" t="str">
        <f t="shared" si="1"/>
        <v>40-49</v>
      </c>
    </row>
    <row r="23" spans="1:13">
      <c r="A23" s="1">
        <v>22</v>
      </c>
      <c r="B23">
        <v>118</v>
      </c>
      <c r="C23">
        <v>10</v>
      </c>
      <c r="D23" t="s">
        <v>27</v>
      </c>
      <c r="E23" t="s">
        <v>19</v>
      </c>
      <c r="F23">
        <v>51</v>
      </c>
      <c r="G23">
        <v>1</v>
      </c>
      <c r="H23" s="2">
        <v>44808</v>
      </c>
      <c r="I23">
        <v>48</v>
      </c>
      <c r="J23" t="s">
        <v>13</v>
      </c>
      <c r="K23" t="s">
        <v>17</v>
      </c>
      <c r="L23">
        <f t="shared" si="0"/>
        <v>51</v>
      </c>
      <c r="M23" t="str">
        <f t="shared" si="1"/>
        <v>40-49</v>
      </c>
    </row>
    <row r="24" spans="1:13">
      <c r="A24" s="1">
        <v>23</v>
      </c>
      <c r="B24">
        <v>125</v>
      </c>
      <c r="C24">
        <v>24</v>
      </c>
      <c r="D24" t="s">
        <v>26</v>
      </c>
      <c r="E24" t="s">
        <v>23</v>
      </c>
      <c r="F24">
        <v>614</v>
      </c>
      <c r="G24">
        <v>4</v>
      </c>
      <c r="H24" s="2">
        <v>44637</v>
      </c>
      <c r="I24">
        <v>23</v>
      </c>
      <c r="J24" t="s">
        <v>16</v>
      </c>
      <c r="K24" t="s">
        <v>20</v>
      </c>
      <c r="L24">
        <f t="shared" si="0"/>
        <v>2456</v>
      </c>
      <c r="M24" t="str">
        <f t="shared" si="1"/>
        <v>20-29</v>
      </c>
    </row>
    <row r="25" spans="1:13">
      <c r="A25" s="1">
        <v>24</v>
      </c>
      <c r="B25">
        <v>167</v>
      </c>
      <c r="C25">
        <v>35</v>
      </c>
      <c r="D25" t="s">
        <v>15</v>
      </c>
      <c r="E25" t="s">
        <v>19</v>
      </c>
      <c r="F25">
        <v>611</v>
      </c>
      <c r="G25">
        <v>3</v>
      </c>
      <c r="H25" s="2">
        <v>44715</v>
      </c>
      <c r="I25">
        <v>19</v>
      </c>
      <c r="J25" t="s">
        <v>13</v>
      </c>
      <c r="K25" t="s">
        <v>30</v>
      </c>
      <c r="L25">
        <f t="shared" si="0"/>
        <v>1833</v>
      </c>
      <c r="M25" t="str">
        <f t="shared" si="1"/>
        <v>Under 20</v>
      </c>
    </row>
    <row r="26" spans="1:13">
      <c r="A26" s="1">
        <v>25</v>
      </c>
      <c r="B26">
        <v>169</v>
      </c>
      <c r="C26">
        <v>26</v>
      </c>
      <c r="D26" t="s">
        <v>11</v>
      </c>
      <c r="E26" t="s">
        <v>12</v>
      </c>
      <c r="F26">
        <v>841</v>
      </c>
      <c r="G26">
        <v>3</v>
      </c>
      <c r="H26" s="2">
        <v>44705</v>
      </c>
      <c r="I26">
        <v>37</v>
      </c>
      <c r="J26" t="s">
        <v>16</v>
      </c>
      <c r="K26" t="s">
        <v>24</v>
      </c>
      <c r="L26">
        <f t="shared" si="0"/>
        <v>2523</v>
      </c>
      <c r="M26" t="str">
        <f t="shared" si="1"/>
        <v>30-39</v>
      </c>
    </row>
    <row r="27" spans="1:13">
      <c r="A27" s="1">
        <v>26</v>
      </c>
      <c r="B27">
        <v>24</v>
      </c>
      <c r="C27">
        <v>37</v>
      </c>
      <c r="D27" t="s">
        <v>26</v>
      </c>
      <c r="E27" t="s">
        <v>12</v>
      </c>
      <c r="F27">
        <v>992</v>
      </c>
      <c r="G27">
        <v>1</v>
      </c>
      <c r="H27" s="2">
        <v>44647</v>
      </c>
      <c r="I27">
        <v>45</v>
      </c>
      <c r="J27" t="s">
        <v>16</v>
      </c>
      <c r="K27" t="s">
        <v>30</v>
      </c>
      <c r="L27">
        <f t="shared" si="0"/>
        <v>992</v>
      </c>
      <c r="M27" t="str">
        <f t="shared" si="1"/>
        <v>40-49</v>
      </c>
    </row>
    <row r="28" spans="1:13">
      <c r="A28" s="1">
        <v>27</v>
      </c>
      <c r="B28">
        <v>188</v>
      </c>
      <c r="C28">
        <v>38</v>
      </c>
      <c r="D28" t="s">
        <v>11</v>
      </c>
      <c r="E28" t="s">
        <v>19</v>
      </c>
      <c r="F28">
        <v>102</v>
      </c>
      <c r="G28">
        <v>3</v>
      </c>
      <c r="H28" s="2">
        <v>44746</v>
      </c>
      <c r="I28">
        <v>28</v>
      </c>
      <c r="J28" t="s">
        <v>13</v>
      </c>
      <c r="K28" t="s">
        <v>17</v>
      </c>
      <c r="L28">
        <f t="shared" si="0"/>
        <v>306</v>
      </c>
      <c r="M28" t="str">
        <f t="shared" si="1"/>
        <v>20-29</v>
      </c>
    </row>
    <row r="29" spans="1:13">
      <c r="A29" s="1">
        <v>28</v>
      </c>
      <c r="B29">
        <v>46</v>
      </c>
      <c r="C29">
        <v>21</v>
      </c>
      <c r="D29" t="s">
        <v>25</v>
      </c>
      <c r="E29" t="s">
        <v>12</v>
      </c>
      <c r="F29">
        <v>928</v>
      </c>
      <c r="G29">
        <v>1</v>
      </c>
      <c r="H29" s="2">
        <v>44846</v>
      </c>
      <c r="I29">
        <v>21</v>
      </c>
      <c r="J29" t="s">
        <v>16</v>
      </c>
      <c r="K29" t="s">
        <v>22</v>
      </c>
      <c r="L29">
        <f t="shared" si="0"/>
        <v>928</v>
      </c>
      <c r="M29" t="str">
        <f t="shared" si="1"/>
        <v>20-29</v>
      </c>
    </row>
    <row r="30" spans="1:13">
      <c r="A30" s="1">
        <v>29</v>
      </c>
      <c r="B30">
        <v>19</v>
      </c>
      <c r="C30">
        <v>40</v>
      </c>
      <c r="D30" t="s">
        <v>11</v>
      </c>
      <c r="E30" t="s">
        <v>19</v>
      </c>
      <c r="F30">
        <v>798</v>
      </c>
      <c r="G30">
        <v>2</v>
      </c>
      <c r="H30" s="2">
        <v>44781</v>
      </c>
      <c r="I30">
        <v>32</v>
      </c>
      <c r="J30" t="s">
        <v>16</v>
      </c>
      <c r="K30" t="s">
        <v>17</v>
      </c>
      <c r="L30">
        <f t="shared" si="0"/>
        <v>1596</v>
      </c>
      <c r="M30" t="str">
        <f t="shared" si="1"/>
        <v>30-39</v>
      </c>
    </row>
    <row r="31" spans="1:13">
      <c r="A31" s="1">
        <v>30</v>
      </c>
      <c r="B31">
        <v>68</v>
      </c>
      <c r="C31">
        <v>39</v>
      </c>
      <c r="D31" t="s">
        <v>21</v>
      </c>
      <c r="E31" t="s">
        <v>23</v>
      </c>
      <c r="F31">
        <v>826</v>
      </c>
      <c r="G31">
        <v>3</v>
      </c>
      <c r="H31" s="2">
        <v>44630</v>
      </c>
      <c r="I31">
        <v>23</v>
      </c>
      <c r="J31" t="s">
        <v>13</v>
      </c>
      <c r="K31" t="s">
        <v>22</v>
      </c>
      <c r="L31">
        <f t="shared" si="0"/>
        <v>2478</v>
      </c>
      <c r="M31" t="str">
        <f t="shared" si="1"/>
        <v>20-29</v>
      </c>
    </row>
    <row r="32" spans="1:13">
      <c r="A32" s="1">
        <v>31</v>
      </c>
      <c r="B32">
        <v>102</v>
      </c>
      <c r="C32">
        <v>21</v>
      </c>
      <c r="D32" t="s">
        <v>18</v>
      </c>
      <c r="E32" t="s">
        <v>12</v>
      </c>
      <c r="F32">
        <v>611</v>
      </c>
      <c r="G32">
        <v>2</v>
      </c>
      <c r="H32" s="2">
        <v>44608</v>
      </c>
      <c r="I32">
        <v>47</v>
      </c>
      <c r="J32" t="s">
        <v>16</v>
      </c>
      <c r="K32" t="s">
        <v>22</v>
      </c>
      <c r="L32">
        <f t="shared" si="0"/>
        <v>1222</v>
      </c>
      <c r="M32" t="str">
        <f t="shared" si="1"/>
        <v>40-49</v>
      </c>
    </row>
    <row r="33" spans="1:13">
      <c r="A33" s="1">
        <v>32</v>
      </c>
      <c r="B33">
        <v>42</v>
      </c>
      <c r="C33">
        <v>10</v>
      </c>
      <c r="D33" t="s">
        <v>27</v>
      </c>
      <c r="E33" t="s">
        <v>23</v>
      </c>
      <c r="F33">
        <v>614</v>
      </c>
      <c r="G33">
        <v>1</v>
      </c>
      <c r="H33" s="2">
        <v>44655</v>
      </c>
      <c r="I33">
        <v>55</v>
      </c>
      <c r="J33" t="s">
        <v>13</v>
      </c>
      <c r="K33" t="s">
        <v>20</v>
      </c>
      <c r="L33">
        <f t="shared" si="0"/>
        <v>614</v>
      </c>
      <c r="M33" t="str">
        <f t="shared" si="1"/>
        <v>50-59</v>
      </c>
    </row>
    <row r="34" spans="1:13">
      <c r="A34" s="1">
        <v>33</v>
      </c>
      <c r="B34">
        <v>32</v>
      </c>
      <c r="C34">
        <v>38</v>
      </c>
      <c r="D34" t="s">
        <v>31</v>
      </c>
      <c r="E34" t="s">
        <v>19</v>
      </c>
      <c r="F34">
        <v>526</v>
      </c>
      <c r="G34">
        <v>4</v>
      </c>
      <c r="H34" s="2">
        <v>44799</v>
      </c>
      <c r="I34">
        <v>19</v>
      </c>
      <c r="J34" t="s">
        <v>13</v>
      </c>
      <c r="K34" t="s">
        <v>30</v>
      </c>
      <c r="L34">
        <f t="shared" si="0"/>
        <v>2104</v>
      </c>
      <c r="M34" t="str">
        <f t="shared" si="1"/>
        <v>Under 20</v>
      </c>
    </row>
    <row r="35" spans="1:13">
      <c r="A35" s="1">
        <v>34</v>
      </c>
      <c r="B35">
        <v>167</v>
      </c>
      <c r="C35">
        <v>46</v>
      </c>
      <c r="D35" t="s">
        <v>29</v>
      </c>
      <c r="E35" t="s">
        <v>19</v>
      </c>
      <c r="F35">
        <v>130</v>
      </c>
      <c r="G35">
        <v>3</v>
      </c>
      <c r="H35" s="2">
        <v>44765</v>
      </c>
      <c r="I35">
        <v>32</v>
      </c>
      <c r="J35" t="s">
        <v>13</v>
      </c>
      <c r="K35" t="s">
        <v>24</v>
      </c>
      <c r="L35">
        <f t="shared" si="0"/>
        <v>390</v>
      </c>
      <c r="M35" t="str">
        <f t="shared" si="1"/>
        <v>30-39</v>
      </c>
    </row>
    <row r="36" spans="1:13">
      <c r="A36" s="1">
        <v>35</v>
      </c>
      <c r="B36">
        <v>109</v>
      </c>
      <c r="C36">
        <v>4</v>
      </c>
      <c r="D36" t="s">
        <v>21</v>
      </c>
      <c r="E36" t="s">
        <v>12</v>
      </c>
      <c r="F36">
        <v>320</v>
      </c>
      <c r="G36">
        <v>1</v>
      </c>
      <c r="H36" s="2">
        <v>44779</v>
      </c>
      <c r="I36">
        <v>28</v>
      </c>
      <c r="J36" t="s">
        <v>16</v>
      </c>
      <c r="K36" t="s">
        <v>24</v>
      </c>
      <c r="L36">
        <f t="shared" si="0"/>
        <v>320</v>
      </c>
      <c r="M36" t="str">
        <f t="shared" si="1"/>
        <v>20-29</v>
      </c>
    </row>
    <row r="37" spans="1:13">
      <c r="A37" s="1">
        <v>36</v>
      </c>
      <c r="B37">
        <v>36</v>
      </c>
      <c r="C37">
        <v>45</v>
      </c>
      <c r="D37" t="s">
        <v>11</v>
      </c>
      <c r="E37" t="s">
        <v>12</v>
      </c>
      <c r="F37">
        <v>251</v>
      </c>
      <c r="G37">
        <v>4</v>
      </c>
      <c r="H37" s="2">
        <v>44902</v>
      </c>
      <c r="I37">
        <v>25</v>
      </c>
      <c r="J37" t="s">
        <v>16</v>
      </c>
      <c r="K37" t="s">
        <v>14</v>
      </c>
      <c r="L37">
        <f t="shared" si="0"/>
        <v>1004</v>
      </c>
      <c r="M37" t="str">
        <f t="shared" si="1"/>
        <v>20-29</v>
      </c>
    </row>
    <row r="38" spans="1:13">
      <c r="A38" s="1">
        <v>37</v>
      </c>
      <c r="B38">
        <v>97</v>
      </c>
      <c r="C38">
        <v>20</v>
      </c>
      <c r="D38" t="s">
        <v>28</v>
      </c>
      <c r="E38" t="s">
        <v>19</v>
      </c>
      <c r="F38">
        <v>251</v>
      </c>
      <c r="G38">
        <v>4</v>
      </c>
      <c r="H38" s="2">
        <v>44600</v>
      </c>
      <c r="I38">
        <v>43</v>
      </c>
      <c r="J38" t="s">
        <v>16</v>
      </c>
      <c r="K38" t="s">
        <v>22</v>
      </c>
      <c r="L38">
        <f t="shared" si="0"/>
        <v>1004</v>
      </c>
      <c r="M38" t="str">
        <f t="shared" si="1"/>
        <v>40-49</v>
      </c>
    </row>
    <row r="39" spans="1:13">
      <c r="A39" s="1">
        <v>38</v>
      </c>
      <c r="B39">
        <v>164</v>
      </c>
      <c r="C39">
        <v>17</v>
      </c>
      <c r="D39" t="s">
        <v>27</v>
      </c>
      <c r="E39" t="s">
        <v>12</v>
      </c>
      <c r="F39">
        <v>947</v>
      </c>
      <c r="G39">
        <v>2</v>
      </c>
      <c r="H39" s="2">
        <v>44661</v>
      </c>
      <c r="I39">
        <v>62</v>
      </c>
      <c r="J39" t="s">
        <v>13</v>
      </c>
      <c r="K39" t="s">
        <v>24</v>
      </c>
      <c r="L39">
        <f t="shared" si="0"/>
        <v>1894</v>
      </c>
      <c r="M39" t="str">
        <f t="shared" si="1"/>
        <v>Above 60</v>
      </c>
    </row>
    <row r="40" spans="1:13">
      <c r="A40" s="1">
        <v>39</v>
      </c>
      <c r="B40">
        <v>131</v>
      </c>
      <c r="C40">
        <v>7</v>
      </c>
      <c r="D40" t="s">
        <v>21</v>
      </c>
      <c r="E40" t="s">
        <v>12</v>
      </c>
      <c r="F40">
        <v>921</v>
      </c>
      <c r="G40">
        <v>1</v>
      </c>
      <c r="H40" s="2">
        <v>44850</v>
      </c>
      <c r="I40">
        <v>61</v>
      </c>
      <c r="J40" t="s">
        <v>16</v>
      </c>
      <c r="K40" t="s">
        <v>20</v>
      </c>
      <c r="L40">
        <f t="shared" si="0"/>
        <v>921</v>
      </c>
      <c r="M40" t="str">
        <f t="shared" si="1"/>
        <v>Above 60</v>
      </c>
    </row>
    <row r="41" spans="1:13">
      <c r="A41" s="1">
        <v>40</v>
      </c>
      <c r="B41">
        <v>73</v>
      </c>
      <c r="C41">
        <v>4</v>
      </c>
      <c r="D41" t="s">
        <v>29</v>
      </c>
      <c r="E41" t="s">
        <v>23</v>
      </c>
      <c r="F41">
        <v>841</v>
      </c>
      <c r="G41">
        <v>4</v>
      </c>
      <c r="H41" s="2">
        <v>44815</v>
      </c>
      <c r="I41">
        <v>22</v>
      </c>
      <c r="J41" t="s">
        <v>13</v>
      </c>
      <c r="K41" t="s">
        <v>22</v>
      </c>
      <c r="L41">
        <f t="shared" si="0"/>
        <v>3364</v>
      </c>
      <c r="M41" t="str">
        <f t="shared" si="1"/>
        <v>20-29</v>
      </c>
    </row>
    <row r="42" spans="1:13">
      <c r="A42" s="1">
        <v>41</v>
      </c>
      <c r="B42">
        <v>136</v>
      </c>
      <c r="C42">
        <v>29</v>
      </c>
      <c r="D42" t="s">
        <v>18</v>
      </c>
      <c r="E42" t="s">
        <v>19</v>
      </c>
      <c r="F42">
        <v>437</v>
      </c>
      <c r="G42">
        <v>3</v>
      </c>
      <c r="H42" s="2">
        <v>44783</v>
      </c>
      <c r="I42">
        <v>23</v>
      </c>
      <c r="J42" t="s">
        <v>13</v>
      </c>
      <c r="K42" t="s">
        <v>20</v>
      </c>
      <c r="L42">
        <f t="shared" si="0"/>
        <v>1311</v>
      </c>
      <c r="M42" t="str">
        <f t="shared" si="1"/>
        <v>20-29</v>
      </c>
    </row>
    <row r="43" spans="1:13">
      <c r="A43" s="1">
        <v>42</v>
      </c>
      <c r="B43">
        <v>97</v>
      </c>
      <c r="C43">
        <v>14</v>
      </c>
      <c r="D43" t="s">
        <v>27</v>
      </c>
      <c r="E43" t="s">
        <v>12</v>
      </c>
      <c r="F43">
        <v>774</v>
      </c>
      <c r="G43">
        <v>3</v>
      </c>
      <c r="H43" s="2">
        <v>44918</v>
      </c>
      <c r="I43">
        <v>43</v>
      </c>
      <c r="J43" t="s">
        <v>16</v>
      </c>
      <c r="K43" t="s">
        <v>24</v>
      </c>
      <c r="L43">
        <f t="shared" si="0"/>
        <v>2322</v>
      </c>
      <c r="M43" t="str">
        <f t="shared" si="1"/>
        <v>40-49</v>
      </c>
    </row>
    <row r="44" spans="1:13">
      <c r="A44" s="1">
        <v>43</v>
      </c>
      <c r="B44">
        <v>123</v>
      </c>
      <c r="C44">
        <v>3</v>
      </c>
      <c r="D44" t="s">
        <v>29</v>
      </c>
      <c r="E44" t="s">
        <v>23</v>
      </c>
      <c r="F44">
        <v>865</v>
      </c>
      <c r="G44">
        <v>2</v>
      </c>
      <c r="H44" s="2">
        <v>44584</v>
      </c>
      <c r="I44">
        <v>21</v>
      </c>
      <c r="J44" t="s">
        <v>13</v>
      </c>
      <c r="K44" t="s">
        <v>24</v>
      </c>
      <c r="L44">
        <f t="shared" si="0"/>
        <v>1730</v>
      </c>
      <c r="M44" t="str">
        <f t="shared" si="1"/>
        <v>20-29</v>
      </c>
    </row>
    <row r="45" spans="1:13">
      <c r="A45" s="1">
        <v>44</v>
      </c>
      <c r="B45">
        <v>70</v>
      </c>
      <c r="C45">
        <v>24</v>
      </c>
      <c r="D45" t="s">
        <v>25</v>
      </c>
      <c r="E45" t="s">
        <v>23</v>
      </c>
      <c r="F45">
        <v>301</v>
      </c>
      <c r="G45">
        <v>4</v>
      </c>
      <c r="H45" s="2">
        <v>44811</v>
      </c>
      <c r="I45">
        <v>36</v>
      </c>
      <c r="J45" t="s">
        <v>16</v>
      </c>
      <c r="K45" t="s">
        <v>14</v>
      </c>
      <c r="L45">
        <f t="shared" si="0"/>
        <v>1204</v>
      </c>
      <c r="M45" t="str">
        <f t="shared" si="1"/>
        <v>30-39</v>
      </c>
    </row>
    <row r="46" spans="1:13">
      <c r="A46" s="1">
        <v>45</v>
      </c>
      <c r="B46">
        <v>169</v>
      </c>
      <c r="C46">
        <v>37</v>
      </c>
      <c r="D46" t="s">
        <v>25</v>
      </c>
      <c r="E46" t="s">
        <v>12</v>
      </c>
      <c r="F46">
        <v>255</v>
      </c>
      <c r="G46">
        <v>1</v>
      </c>
      <c r="H46" s="2">
        <v>44571</v>
      </c>
      <c r="I46">
        <v>37</v>
      </c>
      <c r="J46" t="s">
        <v>16</v>
      </c>
      <c r="K46" t="s">
        <v>24</v>
      </c>
      <c r="L46">
        <f t="shared" si="0"/>
        <v>255</v>
      </c>
      <c r="M46" t="str">
        <f t="shared" si="1"/>
        <v>30-39</v>
      </c>
    </row>
    <row r="47" spans="1:13">
      <c r="A47" s="1">
        <v>46</v>
      </c>
      <c r="B47">
        <v>196</v>
      </c>
      <c r="C47">
        <v>16</v>
      </c>
      <c r="D47" t="s">
        <v>29</v>
      </c>
      <c r="E47" t="s">
        <v>12</v>
      </c>
      <c r="F47">
        <v>319</v>
      </c>
      <c r="G47">
        <v>3</v>
      </c>
      <c r="H47" s="2">
        <v>44807</v>
      </c>
      <c r="I47">
        <v>50</v>
      </c>
      <c r="J47" t="s">
        <v>16</v>
      </c>
      <c r="K47" t="s">
        <v>22</v>
      </c>
      <c r="L47">
        <f t="shared" si="0"/>
        <v>957</v>
      </c>
      <c r="M47" t="str">
        <f t="shared" si="1"/>
        <v>50-59</v>
      </c>
    </row>
    <row r="48" spans="1:13">
      <c r="A48" s="1">
        <v>47</v>
      </c>
      <c r="B48">
        <v>13</v>
      </c>
      <c r="C48">
        <v>4</v>
      </c>
      <c r="D48" t="s">
        <v>21</v>
      </c>
      <c r="E48" t="s">
        <v>19</v>
      </c>
      <c r="F48">
        <v>255</v>
      </c>
      <c r="G48">
        <v>4</v>
      </c>
      <c r="H48" s="2">
        <v>44886</v>
      </c>
      <c r="I48">
        <v>37</v>
      </c>
      <c r="J48" t="s">
        <v>16</v>
      </c>
      <c r="K48" t="s">
        <v>22</v>
      </c>
      <c r="L48">
        <f t="shared" si="0"/>
        <v>1020</v>
      </c>
      <c r="M48" t="str">
        <f t="shared" si="1"/>
        <v>30-39</v>
      </c>
    </row>
    <row r="49" spans="1:13">
      <c r="A49" s="1">
        <v>48</v>
      </c>
      <c r="B49">
        <v>49</v>
      </c>
      <c r="C49">
        <v>24</v>
      </c>
      <c r="D49" t="s">
        <v>27</v>
      </c>
      <c r="E49" t="s">
        <v>19</v>
      </c>
      <c r="F49">
        <v>912</v>
      </c>
      <c r="G49">
        <v>4</v>
      </c>
      <c r="H49" s="2">
        <v>44661</v>
      </c>
      <c r="I49">
        <v>29</v>
      </c>
      <c r="J49" t="s">
        <v>16</v>
      </c>
      <c r="K49" t="s">
        <v>22</v>
      </c>
      <c r="L49">
        <f t="shared" si="0"/>
        <v>3648</v>
      </c>
      <c r="M49" t="str">
        <f t="shared" si="1"/>
        <v>20-29</v>
      </c>
    </row>
    <row r="50" spans="1:13">
      <c r="A50" s="1">
        <v>49</v>
      </c>
      <c r="B50">
        <v>60</v>
      </c>
      <c r="C50">
        <v>34</v>
      </c>
      <c r="D50" t="s">
        <v>21</v>
      </c>
      <c r="E50" t="s">
        <v>19</v>
      </c>
      <c r="F50">
        <v>947</v>
      </c>
      <c r="G50">
        <v>2</v>
      </c>
      <c r="H50" s="2">
        <v>44851</v>
      </c>
      <c r="I50">
        <v>64</v>
      </c>
      <c r="J50" t="s">
        <v>13</v>
      </c>
      <c r="K50" t="s">
        <v>14</v>
      </c>
      <c r="L50">
        <f t="shared" si="0"/>
        <v>1894</v>
      </c>
      <c r="M50" t="str">
        <f t="shared" si="1"/>
        <v>Above 60</v>
      </c>
    </row>
    <row r="51" spans="1:13">
      <c r="A51" s="1">
        <v>50</v>
      </c>
      <c r="B51">
        <v>130</v>
      </c>
      <c r="C51">
        <v>30</v>
      </c>
      <c r="D51" t="s">
        <v>15</v>
      </c>
      <c r="E51" t="s">
        <v>19</v>
      </c>
      <c r="F51">
        <v>821</v>
      </c>
      <c r="G51">
        <v>3</v>
      </c>
      <c r="H51" s="2">
        <v>44741</v>
      </c>
      <c r="I51">
        <v>18</v>
      </c>
      <c r="J51" t="s">
        <v>13</v>
      </c>
      <c r="K51" t="s">
        <v>14</v>
      </c>
      <c r="L51">
        <f t="shared" si="0"/>
        <v>2463</v>
      </c>
      <c r="M51" t="str">
        <f t="shared" si="1"/>
        <v>Under 20</v>
      </c>
    </row>
    <row r="52" spans="1:13">
      <c r="A52" s="1">
        <v>51</v>
      </c>
      <c r="B52">
        <v>188</v>
      </c>
      <c r="C52">
        <v>18</v>
      </c>
      <c r="D52" t="s">
        <v>11</v>
      </c>
      <c r="E52" t="s">
        <v>12</v>
      </c>
      <c r="F52">
        <v>779</v>
      </c>
      <c r="G52">
        <v>3</v>
      </c>
      <c r="H52" s="2">
        <v>44784</v>
      </c>
      <c r="I52">
        <v>43</v>
      </c>
      <c r="J52" t="s">
        <v>13</v>
      </c>
      <c r="K52" t="s">
        <v>24</v>
      </c>
      <c r="L52">
        <f t="shared" si="0"/>
        <v>2337</v>
      </c>
      <c r="M52" t="str">
        <f t="shared" si="1"/>
        <v>40-49</v>
      </c>
    </row>
    <row r="53" spans="1:13">
      <c r="A53" s="1">
        <v>52</v>
      </c>
      <c r="B53">
        <v>5</v>
      </c>
      <c r="C53">
        <v>19</v>
      </c>
      <c r="D53" t="s">
        <v>15</v>
      </c>
      <c r="E53" t="s">
        <v>23</v>
      </c>
      <c r="F53">
        <v>437</v>
      </c>
      <c r="G53">
        <v>1</v>
      </c>
      <c r="H53" s="2">
        <v>44811</v>
      </c>
      <c r="I53">
        <v>31</v>
      </c>
      <c r="J53" t="s">
        <v>16</v>
      </c>
      <c r="K53" t="s">
        <v>17</v>
      </c>
      <c r="L53">
        <f t="shared" si="0"/>
        <v>437</v>
      </c>
      <c r="M53" t="str">
        <f t="shared" si="1"/>
        <v>30-39</v>
      </c>
    </row>
    <row r="54" spans="1:13">
      <c r="A54" s="1">
        <v>53</v>
      </c>
      <c r="B54">
        <v>172</v>
      </c>
      <c r="C54">
        <v>31</v>
      </c>
      <c r="D54" t="s">
        <v>25</v>
      </c>
      <c r="E54" t="s">
        <v>23</v>
      </c>
      <c r="F54">
        <v>141</v>
      </c>
      <c r="G54">
        <v>3</v>
      </c>
      <c r="H54" s="2">
        <v>44708</v>
      </c>
      <c r="I54">
        <v>55</v>
      </c>
      <c r="J54" t="s">
        <v>16</v>
      </c>
      <c r="K54" t="s">
        <v>17</v>
      </c>
      <c r="L54">
        <f t="shared" si="0"/>
        <v>423</v>
      </c>
      <c r="M54" t="str">
        <f t="shared" si="1"/>
        <v>50-59</v>
      </c>
    </row>
    <row r="55" spans="1:13">
      <c r="A55" s="1">
        <v>54</v>
      </c>
      <c r="B55">
        <v>27</v>
      </c>
      <c r="C55">
        <v>19</v>
      </c>
      <c r="D55" t="s">
        <v>18</v>
      </c>
      <c r="E55" t="s">
        <v>12</v>
      </c>
      <c r="F55">
        <v>319</v>
      </c>
      <c r="G55">
        <v>1</v>
      </c>
      <c r="H55" s="2">
        <v>44657</v>
      </c>
      <c r="I55">
        <v>54</v>
      </c>
      <c r="J55" t="s">
        <v>16</v>
      </c>
      <c r="K55" t="s">
        <v>14</v>
      </c>
      <c r="L55">
        <f t="shared" si="0"/>
        <v>319</v>
      </c>
      <c r="M55" t="str">
        <f t="shared" si="1"/>
        <v>50-59</v>
      </c>
    </row>
    <row r="56" spans="1:13">
      <c r="A56" s="1">
        <v>55</v>
      </c>
      <c r="B56">
        <v>160</v>
      </c>
      <c r="C56">
        <v>49</v>
      </c>
      <c r="D56" t="s">
        <v>26</v>
      </c>
      <c r="E56" t="s">
        <v>23</v>
      </c>
      <c r="F56">
        <v>841</v>
      </c>
      <c r="G56">
        <v>3</v>
      </c>
      <c r="H56" s="2">
        <v>44818</v>
      </c>
      <c r="I56">
        <v>28</v>
      </c>
      <c r="J56" t="s">
        <v>13</v>
      </c>
      <c r="K56" t="s">
        <v>24</v>
      </c>
      <c r="L56">
        <f t="shared" si="0"/>
        <v>2523</v>
      </c>
      <c r="M56" t="str">
        <f t="shared" si="1"/>
        <v>20-29</v>
      </c>
    </row>
    <row r="57" spans="1:13">
      <c r="A57" s="1">
        <v>56</v>
      </c>
      <c r="B57">
        <v>149</v>
      </c>
      <c r="C57">
        <v>46</v>
      </c>
      <c r="D57" t="s">
        <v>11</v>
      </c>
      <c r="E57" t="s">
        <v>12</v>
      </c>
      <c r="F57">
        <v>301</v>
      </c>
      <c r="G57">
        <v>2</v>
      </c>
      <c r="H57" s="2">
        <v>44886</v>
      </c>
      <c r="I57">
        <v>53</v>
      </c>
      <c r="J57" t="s">
        <v>16</v>
      </c>
      <c r="K57" t="s">
        <v>17</v>
      </c>
      <c r="L57">
        <f t="shared" si="0"/>
        <v>602</v>
      </c>
      <c r="M57" t="str">
        <f t="shared" si="1"/>
        <v>50-59</v>
      </c>
    </row>
    <row r="58" spans="1:13">
      <c r="A58" s="1">
        <v>57</v>
      </c>
      <c r="B58">
        <v>8</v>
      </c>
      <c r="C58">
        <v>19</v>
      </c>
      <c r="D58" t="s">
        <v>25</v>
      </c>
      <c r="E58" t="s">
        <v>12</v>
      </c>
      <c r="F58">
        <v>437</v>
      </c>
      <c r="G58">
        <v>3</v>
      </c>
      <c r="H58" s="2">
        <v>44565</v>
      </c>
      <c r="I58">
        <v>30</v>
      </c>
      <c r="J58" t="s">
        <v>13</v>
      </c>
      <c r="K58" t="s">
        <v>24</v>
      </c>
      <c r="L58">
        <f t="shared" si="0"/>
        <v>1311</v>
      </c>
      <c r="M58" t="str">
        <f t="shared" si="1"/>
        <v>30-39</v>
      </c>
    </row>
    <row r="59" spans="1:13">
      <c r="A59" s="1">
        <v>58</v>
      </c>
      <c r="B59">
        <v>200</v>
      </c>
      <c r="C59">
        <v>22</v>
      </c>
      <c r="D59" t="s">
        <v>21</v>
      </c>
      <c r="E59" t="s">
        <v>23</v>
      </c>
      <c r="F59">
        <v>826</v>
      </c>
      <c r="G59">
        <v>1</v>
      </c>
      <c r="H59" s="2">
        <v>44577</v>
      </c>
      <c r="I59">
        <v>60</v>
      </c>
      <c r="J59" t="s">
        <v>13</v>
      </c>
      <c r="K59" t="s">
        <v>24</v>
      </c>
      <c r="L59">
        <f t="shared" si="0"/>
        <v>826</v>
      </c>
      <c r="M59" t="str">
        <f t="shared" si="1"/>
        <v>Above 60</v>
      </c>
    </row>
    <row r="60" spans="1:13">
      <c r="A60" s="1">
        <v>59</v>
      </c>
      <c r="B60">
        <v>50</v>
      </c>
      <c r="C60">
        <v>24</v>
      </c>
      <c r="D60" t="s">
        <v>21</v>
      </c>
      <c r="E60" t="s">
        <v>19</v>
      </c>
      <c r="F60">
        <v>389</v>
      </c>
      <c r="G60">
        <v>1</v>
      </c>
      <c r="H60" s="2">
        <v>44841</v>
      </c>
      <c r="I60">
        <v>20</v>
      </c>
      <c r="J60" t="s">
        <v>16</v>
      </c>
      <c r="K60" t="s">
        <v>24</v>
      </c>
      <c r="L60">
        <f t="shared" si="0"/>
        <v>389</v>
      </c>
      <c r="M60" t="str">
        <f t="shared" si="1"/>
        <v>20-29</v>
      </c>
    </row>
    <row r="61" spans="1:13">
      <c r="A61" s="1">
        <v>60</v>
      </c>
      <c r="B61">
        <v>67</v>
      </c>
      <c r="C61">
        <v>45</v>
      </c>
      <c r="D61" t="s">
        <v>21</v>
      </c>
      <c r="E61" t="s">
        <v>23</v>
      </c>
      <c r="F61">
        <v>752</v>
      </c>
      <c r="G61">
        <v>2</v>
      </c>
      <c r="H61" s="2">
        <v>44897</v>
      </c>
      <c r="I61">
        <v>50</v>
      </c>
      <c r="J61" t="s">
        <v>16</v>
      </c>
      <c r="K61" t="s">
        <v>30</v>
      </c>
      <c r="L61">
        <f t="shared" si="0"/>
        <v>1504</v>
      </c>
      <c r="M61" t="str">
        <f t="shared" si="1"/>
        <v>50-59</v>
      </c>
    </row>
    <row r="62" spans="1:13">
      <c r="A62" s="1">
        <v>61</v>
      </c>
      <c r="B62">
        <v>44</v>
      </c>
      <c r="C62">
        <v>12</v>
      </c>
      <c r="D62" t="s">
        <v>18</v>
      </c>
      <c r="E62" t="s">
        <v>23</v>
      </c>
      <c r="F62">
        <v>981</v>
      </c>
      <c r="G62">
        <v>3</v>
      </c>
      <c r="H62" s="2">
        <v>44808</v>
      </c>
      <c r="I62">
        <v>23</v>
      </c>
      <c r="J62" t="s">
        <v>13</v>
      </c>
      <c r="K62" t="s">
        <v>22</v>
      </c>
      <c r="L62">
        <f t="shared" si="0"/>
        <v>2943</v>
      </c>
      <c r="M62" t="str">
        <f t="shared" si="1"/>
        <v>20-29</v>
      </c>
    </row>
    <row r="63" spans="1:13">
      <c r="A63" s="1">
        <v>62</v>
      </c>
      <c r="B63">
        <v>125</v>
      </c>
      <c r="C63">
        <v>30</v>
      </c>
      <c r="D63" t="s">
        <v>15</v>
      </c>
      <c r="E63" t="s">
        <v>19</v>
      </c>
      <c r="F63">
        <v>141</v>
      </c>
      <c r="G63">
        <v>3</v>
      </c>
      <c r="H63" s="2">
        <v>44819</v>
      </c>
      <c r="I63">
        <v>27</v>
      </c>
      <c r="J63" t="s">
        <v>16</v>
      </c>
      <c r="K63" t="s">
        <v>24</v>
      </c>
      <c r="L63">
        <f t="shared" si="0"/>
        <v>423</v>
      </c>
      <c r="M63" t="str">
        <f t="shared" si="1"/>
        <v>20-29</v>
      </c>
    </row>
    <row r="64" spans="1:13">
      <c r="A64" s="1">
        <v>63</v>
      </c>
      <c r="B64">
        <v>58</v>
      </c>
      <c r="C64">
        <v>38</v>
      </c>
      <c r="D64" t="s">
        <v>26</v>
      </c>
      <c r="E64" t="s">
        <v>23</v>
      </c>
      <c r="F64">
        <v>301</v>
      </c>
      <c r="G64">
        <v>2</v>
      </c>
      <c r="H64" s="2">
        <v>44721</v>
      </c>
      <c r="I64">
        <v>22</v>
      </c>
      <c r="J64" t="s">
        <v>13</v>
      </c>
      <c r="K64" t="s">
        <v>30</v>
      </c>
      <c r="L64">
        <f t="shared" si="0"/>
        <v>602</v>
      </c>
      <c r="M64" t="str">
        <f t="shared" si="1"/>
        <v>20-29</v>
      </c>
    </row>
    <row r="65" spans="1:13">
      <c r="A65" s="1">
        <v>64</v>
      </c>
      <c r="B65">
        <v>3</v>
      </c>
      <c r="C65">
        <v>31</v>
      </c>
      <c r="D65" t="s">
        <v>21</v>
      </c>
      <c r="E65" t="s">
        <v>23</v>
      </c>
      <c r="F65">
        <v>84</v>
      </c>
      <c r="G65">
        <v>3</v>
      </c>
      <c r="H65" s="2">
        <v>44901</v>
      </c>
      <c r="I65">
        <v>40</v>
      </c>
      <c r="J65" t="s">
        <v>16</v>
      </c>
      <c r="K65" t="s">
        <v>14</v>
      </c>
      <c r="L65">
        <f t="shared" si="0"/>
        <v>252</v>
      </c>
      <c r="M65" t="str">
        <f t="shared" si="1"/>
        <v>40-49</v>
      </c>
    </row>
    <row r="66" spans="1:13">
      <c r="A66" s="1">
        <v>65</v>
      </c>
      <c r="B66">
        <v>86</v>
      </c>
      <c r="C66">
        <v>36</v>
      </c>
      <c r="D66" t="s">
        <v>31</v>
      </c>
      <c r="E66" t="s">
        <v>19</v>
      </c>
      <c r="F66">
        <v>102</v>
      </c>
      <c r="G66">
        <v>3</v>
      </c>
      <c r="H66" s="2">
        <v>44713</v>
      </c>
      <c r="I66">
        <v>27</v>
      </c>
      <c r="J66" t="s">
        <v>16</v>
      </c>
      <c r="K66" t="s">
        <v>17</v>
      </c>
      <c r="L66">
        <f t="shared" si="0"/>
        <v>306</v>
      </c>
      <c r="M66" t="str">
        <f t="shared" si="1"/>
        <v>20-29</v>
      </c>
    </row>
    <row r="67" spans="1:13">
      <c r="A67" s="1">
        <v>66</v>
      </c>
      <c r="B67">
        <v>70</v>
      </c>
      <c r="C67">
        <v>19</v>
      </c>
      <c r="D67" t="s">
        <v>11</v>
      </c>
      <c r="E67" t="s">
        <v>19</v>
      </c>
      <c r="F67">
        <v>865</v>
      </c>
      <c r="G67">
        <v>1</v>
      </c>
      <c r="H67" s="2">
        <v>44739</v>
      </c>
      <c r="I67">
        <v>61</v>
      </c>
      <c r="J67" t="s">
        <v>13</v>
      </c>
      <c r="K67" t="s">
        <v>22</v>
      </c>
      <c r="L67">
        <f t="shared" ref="L67:L130" si="2">F67*G67</f>
        <v>865</v>
      </c>
      <c r="M67" t="str">
        <f t="shared" ref="M67:M130" si="3">IF(I67&lt;20,"Under 20",IF(I67&lt;30,"20-29",IF(I67&lt;40,"30-39",IF(I67&lt;50,"40-49",IF(I67&lt;60,"50-59","Above 60")))))</f>
        <v>Above 60</v>
      </c>
    </row>
    <row r="68" spans="1:13">
      <c r="A68" s="1">
        <v>67</v>
      </c>
      <c r="B68">
        <v>130</v>
      </c>
      <c r="C68">
        <v>48</v>
      </c>
      <c r="D68" t="s">
        <v>27</v>
      </c>
      <c r="E68" t="s">
        <v>12</v>
      </c>
      <c r="F68">
        <v>437</v>
      </c>
      <c r="G68">
        <v>3</v>
      </c>
      <c r="H68" s="2">
        <v>44724</v>
      </c>
      <c r="I68">
        <v>19</v>
      </c>
      <c r="J68" t="s">
        <v>16</v>
      </c>
      <c r="K68" t="s">
        <v>17</v>
      </c>
      <c r="L68">
        <f t="shared" si="2"/>
        <v>1311</v>
      </c>
      <c r="M68" t="str">
        <f t="shared" si="3"/>
        <v>Under 20</v>
      </c>
    </row>
    <row r="69" spans="1:13">
      <c r="A69" s="1">
        <v>68</v>
      </c>
      <c r="B69">
        <v>172</v>
      </c>
      <c r="C69">
        <v>45</v>
      </c>
      <c r="D69" t="s">
        <v>31</v>
      </c>
      <c r="E69" t="s">
        <v>12</v>
      </c>
      <c r="F69">
        <v>992</v>
      </c>
      <c r="G69">
        <v>3</v>
      </c>
      <c r="H69" s="2">
        <v>44594</v>
      </c>
      <c r="I69">
        <v>30</v>
      </c>
      <c r="J69" t="s">
        <v>13</v>
      </c>
      <c r="K69" t="s">
        <v>22</v>
      </c>
      <c r="L69">
        <f t="shared" si="2"/>
        <v>2976</v>
      </c>
      <c r="M69" t="str">
        <f t="shared" si="3"/>
        <v>30-39</v>
      </c>
    </row>
    <row r="70" spans="1:13">
      <c r="A70" s="1">
        <v>69</v>
      </c>
      <c r="B70">
        <v>2</v>
      </c>
      <c r="C70">
        <v>36</v>
      </c>
      <c r="D70" t="s">
        <v>26</v>
      </c>
      <c r="E70" t="s">
        <v>12</v>
      </c>
      <c r="F70">
        <v>981</v>
      </c>
      <c r="G70">
        <v>2</v>
      </c>
      <c r="H70" s="2">
        <v>44740</v>
      </c>
      <c r="I70">
        <v>57</v>
      </c>
      <c r="J70" t="s">
        <v>16</v>
      </c>
      <c r="K70" t="s">
        <v>17</v>
      </c>
      <c r="L70">
        <f t="shared" si="2"/>
        <v>1962</v>
      </c>
      <c r="M70" t="str">
        <f t="shared" si="3"/>
        <v>50-59</v>
      </c>
    </row>
    <row r="71" spans="1:13">
      <c r="A71" s="1">
        <v>70</v>
      </c>
      <c r="B71">
        <v>102</v>
      </c>
      <c r="C71">
        <v>30</v>
      </c>
      <c r="D71" t="s">
        <v>18</v>
      </c>
      <c r="E71" t="s">
        <v>12</v>
      </c>
      <c r="F71">
        <v>774</v>
      </c>
      <c r="G71">
        <v>2</v>
      </c>
      <c r="H71" s="2">
        <v>44662</v>
      </c>
      <c r="I71">
        <v>19</v>
      </c>
      <c r="J71" t="s">
        <v>13</v>
      </c>
      <c r="K71" t="s">
        <v>22</v>
      </c>
      <c r="L71">
        <f t="shared" si="2"/>
        <v>1548</v>
      </c>
      <c r="M71" t="str">
        <f t="shared" si="3"/>
        <v>Under 20</v>
      </c>
    </row>
    <row r="72" spans="1:13">
      <c r="A72" s="1">
        <v>71</v>
      </c>
      <c r="B72">
        <v>35</v>
      </c>
      <c r="C72">
        <v>49</v>
      </c>
      <c r="D72" t="s">
        <v>26</v>
      </c>
      <c r="E72" t="s">
        <v>19</v>
      </c>
      <c r="F72">
        <v>558</v>
      </c>
      <c r="G72">
        <v>4</v>
      </c>
      <c r="H72" s="2">
        <v>44829</v>
      </c>
      <c r="I72">
        <v>37</v>
      </c>
      <c r="J72" t="s">
        <v>13</v>
      </c>
      <c r="K72" t="s">
        <v>17</v>
      </c>
      <c r="L72">
        <f t="shared" si="2"/>
        <v>2232</v>
      </c>
      <c r="M72" t="str">
        <f t="shared" si="3"/>
        <v>30-39</v>
      </c>
    </row>
    <row r="73" spans="1:13">
      <c r="A73" s="1">
        <v>72</v>
      </c>
      <c r="B73">
        <v>98</v>
      </c>
      <c r="C73">
        <v>33</v>
      </c>
      <c r="D73" t="s">
        <v>27</v>
      </c>
      <c r="E73" t="s">
        <v>19</v>
      </c>
      <c r="F73">
        <v>871</v>
      </c>
      <c r="G73">
        <v>1</v>
      </c>
      <c r="H73" s="2">
        <v>44884</v>
      </c>
      <c r="I73">
        <v>18</v>
      </c>
      <c r="J73" t="s">
        <v>16</v>
      </c>
      <c r="K73" t="s">
        <v>17</v>
      </c>
      <c r="L73">
        <f t="shared" si="2"/>
        <v>871</v>
      </c>
      <c r="M73" t="str">
        <f t="shared" si="3"/>
        <v>Under 20</v>
      </c>
    </row>
    <row r="74" spans="1:13">
      <c r="A74" s="1">
        <v>73</v>
      </c>
      <c r="B74">
        <v>30</v>
      </c>
      <c r="C74">
        <v>18</v>
      </c>
      <c r="D74" t="s">
        <v>11</v>
      </c>
      <c r="E74" t="s">
        <v>19</v>
      </c>
      <c r="F74">
        <v>51</v>
      </c>
      <c r="G74">
        <v>3</v>
      </c>
      <c r="H74" s="2">
        <v>44626</v>
      </c>
      <c r="I74">
        <v>54</v>
      </c>
      <c r="J74" t="s">
        <v>13</v>
      </c>
      <c r="K74" t="s">
        <v>17</v>
      </c>
      <c r="L74">
        <f t="shared" si="2"/>
        <v>153</v>
      </c>
      <c r="M74" t="str">
        <f t="shared" si="3"/>
        <v>50-59</v>
      </c>
    </row>
    <row r="75" spans="1:13">
      <c r="A75" s="1">
        <v>74</v>
      </c>
      <c r="B75">
        <v>116</v>
      </c>
      <c r="C75">
        <v>49</v>
      </c>
      <c r="D75" t="s">
        <v>27</v>
      </c>
      <c r="E75" t="s">
        <v>23</v>
      </c>
      <c r="F75">
        <v>211</v>
      </c>
      <c r="G75">
        <v>3</v>
      </c>
      <c r="H75" s="2">
        <v>44729</v>
      </c>
      <c r="I75">
        <v>26</v>
      </c>
      <c r="J75" t="s">
        <v>16</v>
      </c>
      <c r="K75" t="s">
        <v>17</v>
      </c>
      <c r="L75">
        <f t="shared" si="2"/>
        <v>633</v>
      </c>
      <c r="M75" t="str">
        <f t="shared" si="3"/>
        <v>20-29</v>
      </c>
    </row>
    <row r="76" spans="1:13">
      <c r="A76" s="1">
        <v>75</v>
      </c>
      <c r="B76">
        <v>8</v>
      </c>
      <c r="C76">
        <v>28</v>
      </c>
      <c r="D76" t="s">
        <v>29</v>
      </c>
      <c r="E76" t="s">
        <v>12</v>
      </c>
      <c r="F76">
        <v>947</v>
      </c>
      <c r="G76">
        <v>4</v>
      </c>
      <c r="H76" s="2">
        <v>44891</v>
      </c>
      <c r="I76">
        <v>34</v>
      </c>
      <c r="J76" t="s">
        <v>16</v>
      </c>
      <c r="K76" t="s">
        <v>14</v>
      </c>
      <c r="L76">
        <f t="shared" si="2"/>
        <v>3788</v>
      </c>
      <c r="M76" t="str">
        <f t="shared" si="3"/>
        <v>30-39</v>
      </c>
    </row>
    <row r="77" spans="1:13">
      <c r="A77" s="1">
        <v>76</v>
      </c>
      <c r="B77">
        <v>150</v>
      </c>
      <c r="C77">
        <v>47</v>
      </c>
      <c r="D77" t="s">
        <v>11</v>
      </c>
      <c r="E77" t="s">
        <v>19</v>
      </c>
      <c r="F77">
        <v>769</v>
      </c>
      <c r="G77">
        <v>3</v>
      </c>
      <c r="H77" s="2">
        <v>44604</v>
      </c>
      <c r="I77">
        <v>26</v>
      </c>
      <c r="J77" t="s">
        <v>16</v>
      </c>
      <c r="K77" t="s">
        <v>24</v>
      </c>
      <c r="L77">
        <f t="shared" si="2"/>
        <v>2307</v>
      </c>
      <c r="M77" t="str">
        <f t="shared" si="3"/>
        <v>20-29</v>
      </c>
    </row>
    <row r="78" spans="1:13">
      <c r="A78" s="1">
        <v>77</v>
      </c>
      <c r="B78">
        <v>44</v>
      </c>
      <c r="C78">
        <v>11</v>
      </c>
      <c r="D78" t="s">
        <v>26</v>
      </c>
      <c r="E78" t="s">
        <v>19</v>
      </c>
      <c r="F78">
        <v>155</v>
      </c>
      <c r="G78">
        <v>1</v>
      </c>
      <c r="H78" s="2">
        <v>44605</v>
      </c>
      <c r="I78">
        <v>28</v>
      </c>
      <c r="J78" t="s">
        <v>13</v>
      </c>
      <c r="K78" t="s">
        <v>20</v>
      </c>
      <c r="L78">
        <f t="shared" si="2"/>
        <v>155</v>
      </c>
      <c r="M78" t="str">
        <f t="shared" si="3"/>
        <v>20-29</v>
      </c>
    </row>
    <row r="79" spans="1:13">
      <c r="A79" s="1">
        <v>78</v>
      </c>
      <c r="B79">
        <v>186</v>
      </c>
      <c r="C79">
        <v>45</v>
      </c>
      <c r="D79" t="s">
        <v>21</v>
      </c>
      <c r="E79" t="s">
        <v>12</v>
      </c>
      <c r="F79">
        <v>395</v>
      </c>
      <c r="G79">
        <v>4</v>
      </c>
      <c r="H79" s="2">
        <v>44846</v>
      </c>
      <c r="I79">
        <v>32</v>
      </c>
      <c r="J79" t="s">
        <v>13</v>
      </c>
      <c r="K79" t="s">
        <v>30</v>
      </c>
      <c r="L79">
        <f t="shared" si="2"/>
        <v>1580</v>
      </c>
      <c r="M79" t="str">
        <f t="shared" si="3"/>
        <v>30-39</v>
      </c>
    </row>
    <row r="80" spans="1:13">
      <c r="A80" s="1">
        <v>79</v>
      </c>
      <c r="B80">
        <v>36</v>
      </c>
      <c r="C80">
        <v>33</v>
      </c>
      <c r="D80" t="s">
        <v>26</v>
      </c>
      <c r="E80" t="s">
        <v>23</v>
      </c>
      <c r="F80">
        <v>615</v>
      </c>
      <c r="G80">
        <v>1</v>
      </c>
      <c r="H80" s="2">
        <v>44573</v>
      </c>
      <c r="I80">
        <v>41</v>
      </c>
      <c r="J80" t="s">
        <v>16</v>
      </c>
      <c r="K80" t="s">
        <v>20</v>
      </c>
      <c r="L80">
        <f t="shared" si="2"/>
        <v>615</v>
      </c>
      <c r="M80" t="str">
        <f t="shared" si="3"/>
        <v>40-49</v>
      </c>
    </row>
    <row r="81" spans="1:13">
      <c r="A81" s="1">
        <v>80</v>
      </c>
      <c r="B81">
        <v>197</v>
      </c>
      <c r="C81">
        <v>17</v>
      </c>
      <c r="D81" t="s">
        <v>26</v>
      </c>
      <c r="E81" t="s">
        <v>19</v>
      </c>
      <c r="F81">
        <v>505</v>
      </c>
      <c r="G81">
        <v>4</v>
      </c>
      <c r="H81" s="2">
        <v>44656</v>
      </c>
      <c r="I81">
        <v>55</v>
      </c>
      <c r="J81" t="s">
        <v>16</v>
      </c>
      <c r="K81" t="s">
        <v>20</v>
      </c>
      <c r="L81">
        <f t="shared" si="2"/>
        <v>2020</v>
      </c>
      <c r="M81" t="str">
        <f t="shared" si="3"/>
        <v>50-59</v>
      </c>
    </row>
    <row r="82" spans="1:13">
      <c r="A82" s="1">
        <v>81</v>
      </c>
      <c r="B82">
        <v>77</v>
      </c>
      <c r="C82">
        <v>6</v>
      </c>
      <c r="D82" t="s">
        <v>11</v>
      </c>
      <c r="E82" t="s">
        <v>12</v>
      </c>
      <c r="F82">
        <v>504</v>
      </c>
      <c r="G82">
        <v>4</v>
      </c>
      <c r="H82" s="2">
        <v>44863</v>
      </c>
      <c r="I82">
        <v>52</v>
      </c>
      <c r="J82" t="s">
        <v>13</v>
      </c>
      <c r="K82" t="s">
        <v>22</v>
      </c>
      <c r="L82">
        <f t="shared" si="2"/>
        <v>2016</v>
      </c>
      <c r="M82" t="str">
        <f t="shared" si="3"/>
        <v>50-59</v>
      </c>
    </row>
    <row r="83" spans="1:13">
      <c r="A83" s="1">
        <v>82</v>
      </c>
      <c r="B83">
        <v>31</v>
      </c>
      <c r="C83">
        <v>4</v>
      </c>
      <c r="D83" t="s">
        <v>29</v>
      </c>
      <c r="E83" t="s">
        <v>23</v>
      </c>
      <c r="F83">
        <v>416</v>
      </c>
      <c r="G83">
        <v>2</v>
      </c>
      <c r="H83" s="2">
        <v>44814</v>
      </c>
      <c r="I83">
        <v>47</v>
      </c>
      <c r="J83" t="s">
        <v>16</v>
      </c>
      <c r="K83" t="s">
        <v>24</v>
      </c>
      <c r="L83">
        <f t="shared" si="2"/>
        <v>832</v>
      </c>
      <c r="M83" t="str">
        <f t="shared" si="3"/>
        <v>40-49</v>
      </c>
    </row>
    <row r="84" spans="1:13">
      <c r="A84" s="1">
        <v>83</v>
      </c>
      <c r="B84">
        <v>47</v>
      </c>
      <c r="C84">
        <v>20</v>
      </c>
      <c r="D84" t="s">
        <v>26</v>
      </c>
      <c r="E84" t="s">
        <v>19</v>
      </c>
      <c r="F84">
        <v>255</v>
      </c>
      <c r="G84">
        <v>1</v>
      </c>
      <c r="H84" s="2">
        <v>44803</v>
      </c>
      <c r="I84">
        <v>48</v>
      </c>
      <c r="J84" t="s">
        <v>16</v>
      </c>
      <c r="K84" t="s">
        <v>22</v>
      </c>
      <c r="L84">
        <f t="shared" si="2"/>
        <v>255</v>
      </c>
      <c r="M84" t="str">
        <f t="shared" si="3"/>
        <v>40-49</v>
      </c>
    </row>
    <row r="85" spans="1:13">
      <c r="A85" s="1">
        <v>84</v>
      </c>
      <c r="B85">
        <v>55</v>
      </c>
      <c r="C85">
        <v>48</v>
      </c>
      <c r="D85" t="s">
        <v>31</v>
      </c>
      <c r="E85" t="s">
        <v>19</v>
      </c>
      <c r="F85">
        <v>614</v>
      </c>
      <c r="G85">
        <v>3</v>
      </c>
      <c r="H85" s="2">
        <v>44596</v>
      </c>
      <c r="I85">
        <v>22</v>
      </c>
      <c r="J85" t="s">
        <v>13</v>
      </c>
      <c r="K85" t="s">
        <v>24</v>
      </c>
      <c r="L85">
        <f t="shared" si="2"/>
        <v>1842</v>
      </c>
      <c r="M85" t="str">
        <f t="shared" si="3"/>
        <v>20-29</v>
      </c>
    </row>
    <row r="86" spans="1:13">
      <c r="A86" s="1">
        <v>85</v>
      </c>
      <c r="B86">
        <v>106</v>
      </c>
      <c r="C86">
        <v>47</v>
      </c>
      <c r="D86" t="s">
        <v>25</v>
      </c>
      <c r="E86" t="s">
        <v>12</v>
      </c>
      <c r="F86">
        <v>971</v>
      </c>
      <c r="G86">
        <v>3</v>
      </c>
      <c r="H86" s="2">
        <v>44776</v>
      </c>
      <c r="I86">
        <v>61</v>
      </c>
      <c r="J86" t="s">
        <v>16</v>
      </c>
      <c r="K86" t="s">
        <v>24</v>
      </c>
      <c r="L86">
        <f t="shared" si="2"/>
        <v>2913</v>
      </c>
      <c r="M86" t="str">
        <f t="shared" si="3"/>
        <v>Above 60</v>
      </c>
    </row>
    <row r="87" spans="1:13">
      <c r="A87" s="1">
        <v>86</v>
      </c>
      <c r="B87">
        <v>190</v>
      </c>
      <c r="C87">
        <v>27</v>
      </c>
      <c r="D87" t="s">
        <v>28</v>
      </c>
      <c r="E87" t="s">
        <v>19</v>
      </c>
      <c r="F87">
        <v>981</v>
      </c>
      <c r="G87">
        <v>1</v>
      </c>
      <c r="H87" s="2">
        <v>44898</v>
      </c>
      <c r="I87">
        <v>31</v>
      </c>
      <c r="J87" t="s">
        <v>13</v>
      </c>
      <c r="K87" t="s">
        <v>17</v>
      </c>
      <c r="L87">
        <f t="shared" si="2"/>
        <v>981</v>
      </c>
      <c r="M87" t="str">
        <f t="shared" si="3"/>
        <v>30-39</v>
      </c>
    </row>
    <row r="88" spans="1:13">
      <c r="A88" s="1">
        <v>87</v>
      </c>
      <c r="B88">
        <v>158</v>
      </c>
      <c r="C88">
        <v>15</v>
      </c>
      <c r="D88" t="s">
        <v>28</v>
      </c>
      <c r="E88" t="s">
        <v>19</v>
      </c>
      <c r="F88">
        <v>437</v>
      </c>
      <c r="G88">
        <v>3</v>
      </c>
      <c r="H88" s="2">
        <v>44651</v>
      </c>
      <c r="I88">
        <v>28</v>
      </c>
      <c r="J88" t="s">
        <v>16</v>
      </c>
      <c r="K88" t="s">
        <v>14</v>
      </c>
      <c r="L88">
        <f t="shared" si="2"/>
        <v>1311</v>
      </c>
      <c r="M88" t="str">
        <f t="shared" si="3"/>
        <v>20-29</v>
      </c>
    </row>
    <row r="89" spans="1:13">
      <c r="A89" s="1">
        <v>88</v>
      </c>
      <c r="B89">
        <v>121</v>
      </c>
      <c r="C89">
        <v>6</v>
      </c>
      <c r="D89" t="s">
        <v>26</v>
      </c>
      <c r="E89" t="s">
        <v>23</v>
      </c>
      <c r="F89">
        <v>921</v>
      </c>
      <c r="G89">
        <v>3</v>
      </c>
      <c r="H89" s="2">
        <v>44825</v>
      </c>
      <c r="I89">
        <v>26</v>
      </c>
      <c r="J89" t="s">
        <v>13</v>
      </c>
      <c r="K89" t="s">
        <v>17</v>
      </c>
      <c r="L89">
        <f t="shared" si="2"/>
        <v>2763</v>
      </c>
      <c r="M89" t="str">
        <f t="shared" si="3"/>
        <v>20-29</v>
      </c>
    </row>
    <row r="90" spans="1:13">
      <c r="A90" s="1">
        <v>89</v>
      </c>
      <c r="B90">
        <v>55</v>
      </c>
      <c r="C90">
        <v>47</v>
      </c>
      <c r="D90" t="s">
        <v>31</v>
      </c>
      <c r="E90" t="s">
        <v>12</v>
      </c>
      <c r="F90">
        <v>981</v>
      </c>
      <c r="G90">
        <v>1</v>
      </c>
      <c r="H90" s="2">
        <v>44654</v>
      </c>
      <c r="I90">
        <v>51</v>
      </c>
      <c r="J90" t="s">
        <v>16</v>
      </c>
      <c r="K90" t="s">
        <v>14</v>
      </c>
      <c r="L90">
        <f t="shared" si="2"/>
        <v>981</v>
      </c>
      <c r="M90" t="str">
        <f t="shared" si="3"/>
        <v>50-59</v>
      </c>
    </row>
    <row r="91" spans="1:13">
      <c r="A91" s="1">
        <v>90</v>
      </c>
      <c r="B91">
        <v>144</v>
      </c>
      <c r="C91">
        <v>14</v>
      </c>
      <c r="D91" t="s">
        <v>21</v>
      </c>
      <c r="E91" t="s">
        <v>12</v>
      </c>
      <c r="F91">
        <v>504</v>
      </c>
      <c r="G91">
        <v>4</v>
      </c>
      <c r="H91" s="2">
        <v>44651</v>
      </c>
      <c r="I91">
        <v>29</v>
      </c>
      <c r="J91" t="s">
        <v>16</v>
      </c>
      <c r="K91" t="s">
        <v>22</v>
      </c>
      <c r="L91">
        <f t="shared" si="2"/>
        <v>2016</v>
      </c>
      <c r="M91" t="str">
        <f t="shared" si="3"/>
        <v>20-29</v>
      </c>
    </row>
    <row r="92" spans="1:13">
      <c r="A92" s="1">
        <v>91</v>
      </c>
      <c r="B92">
        <v>12</v>
      </c>
      <c r="C92">
        <v>11</v>
      </c>
      <c r="D92" t="s">
        <v>18</v>
      </c>
      <c r="E92" t="s">
        <v>23</v>
      </c>
      <c r="F92">
        <v>319</v>
      </c>
      <c r="G92">
        <v>1</v>
      </c>
      <c r="H92" s="2">
        <v>44676</v>
      </c>
      <c r="I92">
        <v>52</v>
      </c>
      <c r="J92" t="s">
        <v>13</v>
      </c>
      <c r="K92" t="s">
        <v>14</v>
      </c>
      <c r="L92">
        <f t="shared" si="2"/>
        <v>319</v>
      </c>
      <c r="M92" t="str">
        <f t="shared" si="3"/>
        <v>50-59</v>
      </c>
    </row>
    <row r="93" spans="1:13">
      <c r="A93" s="1">
        <v>92</v>
      </c>
      <c r="B93">
        <v>145</v>
      </c>
      <c r="C93">
        <v>39</v>
      </c>
      <c r="D93" t="s">
        <v>18</v>
      </c>
      <c r="E93" t="s">
        <v>23</v>
      </c>
      <c r="F93">
        <v>841</v>
      </c>
      <c r="G93">
        <v>4</v>
      </c>
      <c r="H93" s="2">
        <v>44666</v>
      </c>
      <c r="I93">
        <v>52</v>
      </c>
      <c r="J93" t="s">
        <v>16</v>
      </c>
      <c r="K93" t="s">
        <v>22</v>
      </c>
      <c r="L93">
        <f t="shared" si="2"/>
        <v>3364</v>
      </c>
      <c r="M93" t="str">
        <f t="shared" si="3"/>
        <v>50-59</v>
      </c>
    </row>
    <row r="94" spans="1:13">
      <c r="A94" s="1">
        <v>93</v>
      </c>
      <c r="B94">
        <v>144</v>
      </c>
      <c r="C94">
        <v>9</v>
      </c>
      <c r="D94" t="s">
        <v>11</v>
      </c>
      <c r="E94" t="s">
        <v>19</v>
      </c>
      <c r="F94">
        <v>992</v>
      </c>
      <c r="G94">
        <v>3</v>
      </c>
      <c r="H94" s="2">
        <v>44757</v>
      </c>
      <c r="I94">
        <v>18</v>
      </c>
      <c r="J94" t="s">
        <v>13</v>
      </c>
      <c r="K94" t="s">
        <v>20</v>
      </c>
      <c r="L94">
        <f t="shared" si="2"/>
        <v>2976</v>
      </c>
      <c r="M94" t="str">
        <f t="shared" si="3"/>
        <v>Under 20</v>
      </c>
    </row>
    <row r="95" spans="1:13">
      <c r="A95" s="1">
        <v>94</v>
      </c>
      <c r="B95">
        <v>140</v>
      </c>
      <c r="C95">
        <v>26</v>
      </c>
      <c r="D95" t="s">
        <v>28</v>
      </c>
      <c r="E95" t="s">
        <v>19</v>
      </c>
      <c r="F95">
        <v>825</v>
      </c>
      <c r="G95">
        <v>3</v>
      </c>
      <c r="H95" s="2">
        <v>44875</v>
      </c>
      <c r="I95">
        <v>57</v>
      </c>
      <c r="J95" t="s">
        <v>16</v>
      </c>
      <c r="K95" t="s">
        <v>20</v>
      </c>
      <c r="L95">
        <f t="shared" si="2"/>
        <v>2475</v>
      </c>
      <c r="M95" t="str">
        <f t="shared" si="3"/>
        <v>50-59</v>
      </c>
    </row>
    <row r="96" spans="1:13">
      <c r="A96" s="1">
        <v>95</v>
      </c>
      <c r="B96">
        <v>136</v>
      </c>
      <c r="C96">
        <v>16</v>
      </c>
      <c r="D96" t="s">
        <v>26</v>
      </c>
      <c r="E96" t="s">
        <v>19</v>
      </c>
      <c r="F96">
        <v>389</v>
      </c>
      <c r="G96">
        <v>3</v>
      </c>
      <c r="H96" s="2">
        <v>44675</v>
      </c>
      <c r="I96">
        <v>39</v>
      </c>
      <c r="J96" t="s">
        <v>13</v>
      </c>
      <c r="K96" t="s">
        <v>14</v>
      </c>
      <c r="L96">
        <f t="shared" si="2"/>
        <v>1167</v>
      </c>
      <c r="M96" t="str">
        <f t="shared" si="3"/>
        <v>30-39</v>
      </c>
    </row>
    <row r="97" spans="1:13">
      <c r="A97" s="1">
        <v>96</v>
      </c>
      <c r="B97">
        <v>3</v>
      </c>
      <c r="C97">
        <v>5</v>
      </c>
      <c r="D97" t="s">
        <v>18</v>
      </c>
      <c r="E97" t="s">
        <v>12</v>
      </c>
      <c r="F97">
        <v>752</v>
      </c>
      <c r="G97">
        <v>2</v>
      </c>
      <c r="H97" s="2">
        <v>44636</v>
      </c>
      <c r="I97">
        <v>46</v>
      </c>
      <c r="J97" t="s">
        <v>13</v>
      </c>
      <c r="K97" t="s">
        <v>14</v>
      </c>
      <c r="L97">
        <f t="shared" si="2"/>
        <v>1504</v>
      </c>
      <c r="M97" t="str">
        <f t="shared" si="3"/>
        <v>40-49</v>
      </c>
    </row>
    <row r="98" spans="1:13">
      <c r="A98" s="1">
        <v>97</v>
      </c>
      <c r="B98">
        <v>144</v>
      </c>
      <c r="C98">
        <v>10</v>
      </c>
      <c r="D98" t="s">
        <v>26</v>
      </c>
      <c r="E98" t="s">
        <v>19</v>
      </c>
      <c r="F98">
        <v>992</v>
      </c>
      <c r="G98">
        <v>4</v>
      </c>
      <c r="H98" s="2">
        <v>44778</v>
      </c>
      <c r="I98">
        <v>25</v>
      </c>
      <c r="J98" t="s">
        <v>13</v>
      </c>
      <c r="K98" t="s">
        <v>22</v>
      </c>
      <c r="L98">
        <f t="shared" si="2"/>
        <v>3968</v>
      </c>
      <c r="M98" t="str">
        <f t="shared" si="3"/>
        <v>20-29</v>
      </c>
    </row>
    <row r="99" spans="1:13">
      <c r="A99" s="1">
        <v>98</v>
      </c>
      <c r="B99">
        <v>30</v>
      </c>
      <c r="C99">
        <v>50</v>
      </c>
      <c r="D99" t="s">
        <v>11</v>
      </c>
      <c r="E99" t="s">
        <v>23</v>
      </c>
      <c r="F99">
        <v>611</v>
      </c>
      <c r="G99">
        <v>2</v>
      </c>
      <c r="H99" s="2">
        <v>44838</v>
      </c>
      <c r="I99">
        <v>28</v>
      </c>
      <c r="J99" t="s">
        <v>13</v>
      </c>
      <c r="K99" t="s">
        <v>17</v>
      </c>
      <c r="L99">
        <f t="shared" si="2"/>
        <v>1222</v>
      </c>
      <c r="M99" t="str">
        <f t="shared" si="3"/>
        <v>20-29</v>
      </c>
    </row>
    <row r="100" spans="1:13">
      <c r="A100" s="1">
        <v>99</v>
      </c>
      <c r="B100">
        <v>23</v>
      </c>
      <c r="C100">
        <v>3</v>
      </c>
      <c r="D100" t="s">
        <v>28</v>
      </c>
      <c r="E100" t="s">
        <v>19</v>
      </c>
      <c r="F100">
        <v>141</v>
      </c>
      <c r="G100">
        <v>2</v>
      </c>
      <c r="H100" s="2">
        <v>44810</v>
      </c>
      <c r="I100">
        <v>58</v>
      </c>
      <c r="J100" t="s">
        <v>16</v>
      </c>
      <c r="K100" t="s">
        <v>22</v>
      </c>
      <c r="L100">
        <f t="shared" si="2"/>
        <v>282</v>
      </c>
      <c r="M100" t="str">
        <f t="shared" si="3"/>
        <v>50-59</v>
      </c>
    </row>
    <row r="101" spans="1:13">
      <c r="A101" s="1">
        <v>100</v>
      </c>
      <c r="B101">
        <v>92</v>
      </c>
      <c r="C101">
        <v>13</v>
      </c>
      <c r="D101" t="s">
        <v>27</v>
      </c>
      <c r="E101" t="s">
        <v>23</v>
      </c>
      <c r="F101">
        <v>319</v>
      </c>
      <c r="G101">
        <v>1</v>
      </c>
      <c r="H101" s="2">
        <v>44725</v>
      </c>
      <c r="I101">
        <v>54</v>
      </c>
      <c r="J101" t="s">
        <v>16</v>
      </c>
      <c r="K101" t="s">
        <v>17</v>
      </c>
      <c r="L101">
        <f t="shared" si="2"/>
        <v>319</v>
      </c>
      <c r="M101" t="str">
        <f t="shared" si="3"/>
        <v>50-59</v>
      </c>
    </row>
    <row r="102" spans="1:13">
      <c r="A102" s="1">
        <v>101</v>
      </c>
      <c r="B102">
        <v>115</v>
      </c>
      <c r="C102">
        <v>43</v>
      </c>
      <c r="D102" t="s">
        <v>25</v>
      </c>
      <c r="E102" t="s">
        <v>19</v>
      </c>
      <c r="F102">
        <v>389</v>
      </c>
      <c r="G102">
        <v>2</v>
      </c>
      <c r="H102" s="2">
        <v>44918</v>
      </c>
      <c r="I102">
        <v>31</v>
      </c>
      <c r="J102" t="s">
        <v>13</v>
      </c>
      <c r="K102" t="s">
        <v>20</v>
      </c>
      <c r="L102">
        <f t="shared" si="2"/>
        <v>778</v>
      </c>
      <c r="M102" t="str">
        <f t="shared" si="3"/>
        <v>30-39</v>
      </c>
    </row>
    <row r="103" spans="1:13">
      <c r="A103" s="1">
        <v>102</v>
      </c>
      <c r="B103">
        <v>104</v>
      </c>
      <c r="C103">
        <v>49</v>
      </c>
      <c r="D103" t="s">
        <v>25</v>
      </c>
      <c r="E103" t="s">
        <v>23</v>
      </c>
      <c r="F103">
        <v>451</v>
      </c>
      <c r="G103">
        <v>1</v>
      </c>
      <c r="H103" s="2">
        <v>44753</v>
      </c>
      <c r="I103">
        <v>47</v>
      </c>
      <c r="J103" t="s">
        <v>13</v>
      </c>
      <c r="K103" t="s">
        <v>24</v>
      </c>
      <c r="L103">
        <f t="shared" si="2"/>
        <v>451</v>
      </c>
      <c r="M103" t="str">
        <f t="shared" si="3"/>
        <v>40-49</v>
      </c>
    </row>
    <row r="104" spans="1:13">
      <c r="A104" s="1">
        <v>103</v>
      </c>
      <c r="B104">
        <v>118</v>
      </c>
      <c r="C104">
        <v>30</v>
      </c>
      <c r="D104" t="s">
        <v>18</v>
      </c>
      <c r="E104" t="s">
        <v>19</v>
      </c>
      <c r="F104">
        <v>255</v>
      </c>
      <c r="G104">
        <v>1</v>
      </c>
      <c r="H104" s="2">
        <v>44788</v>
      </c>
      <c r="I104">
        <v>52</v>
      </c>
      <c r="J104" t="s">
        <v>13</v>
      </c>
      <c r="K104" t="s">
        <v>14</v>
      </c>
      <c r="L104">
        <f t="shared" si="2"/>
        <v>255</v>
      </c>
      <c r="M104" t="str">
        <f t="shared" si="3"/>
        <v>50-59</v>
      </c>
    </row>
    <row r="105" spans="1:13">
      <c r="A105" s="1">
        <v>104</v>
      </c>
      <c r="B105">
        <v>5</v>
      </c>
      <c r="C105">
        <v>45</v>
      </c>
      <c r="D105" t="s">
        <v>25</v>
      </c>
      <c r="E105" t="s">
        <v>19</v>
      </c>
      <c r="F105">
        <v>389</v>
      </c>
      <c r="G105">
        <v>2</v>
      </c>
      <c r="H105" s="2">
        <v>44738</v>
      </c>
      <c r="I105">
        <v>38</v>
      </c>
      <c r="J105" t="s">
        <v>16</v>
      </c>
      <c r="K105" t="s">
        <v>17</v>
      </c>
      <c r="L105">
        <f t="shared" si="2"/>
        <v>778</v>
      </c>
      <c r="M105" t="str">
        <f t="shared" si="3"/>
        <v>30-39</v>
      </c>
    </row>
    <row r="106" spans="1:13">
      <c r="A106" s="1">
        <v>105</v>
      </c>
      <c r="B106">
        <v>104</v>
      </c>
      <c r="C106">
        <v>6</v>
      </c>
      <c r="D106" t="s">
        <v>27</v>
      </c>
      <c r="E106" t="s">
        <v>12</v>
      </c>
      <c r="F106">
        <v>319</v>
      </c>
      <c r="G106">
        <v>4</v>
      </c>
      <c r="H106" s="2">
        <v>44660</v>
      </c>
      <c r="I106">
        <v>54</v>
      </c>
      <c r="J106" t="s">
        <v>16</v>
      </c>
      <c r="K106" t="s">
        <v>22</v>
      </c>
      <c r="L106">
        <f t="shared" si="2"/>
        <v>1276</v>
      </c>
      <c r="M106" t="str">
        <f t="shared" si="3"/>
        <v>50-59</v>
      </c>
    </row>
    <row r="107" spans="1:13">
      <c r="A107" s="1">
        <v>106</v>
      </c>
      <c r="B107">
        <v>108</v>
      </c>
      <c r="C107">
        <v>17</v>
      </c>
      <c r="D107" t="s">
        <v>26</v>
      </c>
      <c r="E107" t="s">
        <v>23</v>
      </c>
      <c r="F107">
        <v>971</v>
      </c>
      <c r="G107">
        <v>4</v>
      </c>
      <c r="H107" s="2">
        <v>44597</v>
      </c>
      <c r="I107">
        <v>22</v>
      </c>
      <c r="J107" t="s">
        <v>16</v>
      </c>
      <c r="K107" t="s">
        <v>20</v>
      </c>
      <c r="L107">
        <f t="shared" si="2"/>
        <v>3884</v>
      </c>
      <c r="M107" t="str">
        <f t="shared" si="3"/>
        <v>20-29</v>
      </c>
    </row>
    <row r="108" spans="1:13">
      <c r="A108" s="1">
        <v>107</v>
      </c>
      <c r="B108">
        <v>65</v>
      </c>
      <c r="C108">
        <v>45</v>
      </c>
      <c r="D108" t="s">
        <v>11</v>
      </c>
      <c r="E108" t="s">
        <v>12</v>
      </c>
      <c r="F108">
        <v>102</v>
      </c>
      <c r="G108">
        <v>4</v>
      </c>
      <c r="H108" s="2">
        <v>44657</v>
      </c>
      <c r="I108">
        <v>36</v>
      </c>
      <c r="J108" t="s">
        <v>16</v>
      </c>
      <c r="K108" t="s">
        <v>17</v>
      </c>
      <c r="L108">
        <f t="shared" si="2"/>
        <v>408</v>
      </c>
      <c r="M108" t="str">
        <f t="shared" si="3"/>
        <v>30-39</v>
      </c>
    </row>
    <row r="109" spans="1:13">
      <c r="A109" s="1">
        <v>108</v>
      </c>
      <c r="B109">
        <v>121</v>
      </c>
      <c r="C109">
        <v>19</v>
      </c>
      <c r="D109" t="s">
        <v>27</v>
      </c>
      <c r="E109" t="s">
        <v>19</v>
      </c>
      <c r="F109">
        <v>751</v>
      </c>
      <c r="G109">
        <v>4</v>
      </c>
      <c r="H109" s="2">
        <v>44713</v>
      </c>
      <c r="I109">
        <v>31</v>
      </c>
      <c r="J109" t="s">
        <v>13</v>
      </c>
      <c r="K109" t="s">
        <v>22</v>
      </c>
      <c r="L109">
        <f t="shared" si="2"/>
        <v>3004</v>
      </c>
      <c r="M109" t="str">
        <f t="shared" si="3"/>
        <v>30-39</v>
      </c>
    </row>
    <row r="110" spans="1:13">
      <c r="A110" s="1">
        <v>109</v>
      </c>
      <c r="B110">
        <v>30</v>
      </c>
      <c r="C110">
        <v>42</v>
      </c>
      <c r="D110" t="s">
        <v>11</v>
      </c>
      <c r="E110" t="s">
        <v>19</v>
      </c>
      <c r="F110">
        <v>437</v>
      </c>
      <c r="G110">
        <v>4</v>
      </c>
      <c r="H110" s="2">
        <v>44712</v>
      </c>
      <c r="I110">
        <v>43</v>
      </c>
      <c r="J110" t="s">
        <v>13</v>
      </c>
      <c r="K110" t="s">
        <v>14</v>
      </c>
      <c r="L110">
        <f t="shared" si="2"/>
        <v>1748</v>
      </c>
      <c r="M110" t="str">
        <f t="shared" si="3"/>
        <v>40-49</v>
      </c>
    </row>
    <row r="111" spans="1:13">
      <c r="A111" s="1">
        <v>110</v>
      </c>
      <c r="B111">
        <v>149</v>
      </c>
      <c r="C111">
        <v>35</v>
      </c>
      <c r="D111" t="s">
        <v>11</v>
      </c>
      <c r="E111" t="s">
        <v>23</v>
      </c>
      <c r="F111">
        <v>615</v>
      </c>
      <c r="G111">
        <v>2</v>
      </c>
      <c r="H111" s="2">
        <v>44751</v>
      </c>
      <c r="I111">
        <v>21</v>
      </c>
      <c r="J111" t="s">
        <v>13</v>
      </c>
      <c r="K111" t="s">
        <v>14</v>
      </c>
      <c r="L111">
        <f t="shared" si="2"/>
        <v>1230</v>
      </c>
      <c r="M111" t="str">
        <f t="shared" si="3"/>
        <v>20-29</v>
      </c>
    </row>
    <row r="112" spans="1:13">
      <c r="A112" s="1">
        <v>111</v>
      </c>
      <c r="B112">
        <v>84</v>
      </c>
      <c r="C112">
        <v>46</v>
      </c>
      <c r="D112" t="s">
        <v>28</v>
      </c>
      <c r="E112" t="s">
        <v>19</v>
      </c>
      <c r="F112">
        <v>389</v>
      </c>
      <c r="G112">
        <v>2</v>
      </c>
      <c r="H112" s="2">
        <v>44785</v>
      </c>
      <c r="I112">
        <v>42</v>
      </c>
      <c r="J112" t="s">
        <v>16</v>
      </c>
      <c r="K112" t="s">
        <v>30</v>
      </c>
      <c r="L112">
        <f t="shared" si="2"/>
        <v>778</v>
      </c>
      <c r="M112" t="str">
        <f t="shared" si="3"/>
        <v>40-49</v>
      </c>
    </row>
    <row r="113" spans="1:13">
      <c r="A113" s="1">
        <v>112</v>
      </c>
      <c r="B113">
        <v>198</v>
      </c>
      <c r="C113">
        <v>26</v>
      </c>
      <c r="D113" t="s">
        <v>26</v>
      </c>
      <c r="E113" t="s">
        <v>12</v>
      </c>
      <c r="F113">
        <v>395</v>
      </c>
      <c r="G113">
        <v>3</v>
      </c>
      <c r="H113" s="2">
        <v>44598</v>
      </c>
      <c r="I113">
        <v>62</v>
      </c>
      <c r="J113" t="s">
        <v>16</v>
      </c>
      <c r="K113" t="s">
        <v>24</v>
      </c>
      <c r="L113">
        <f t="shared" si="2"/>
        <v>1185</v>
      </c>
      <c r="M113" t="str">
        <f t="shared" si="3"/>
        <v>Above 60</v>
      </c>
    </row>
    <row r="114" spans="1:13">
      <c r="A114" s="1">
        <v>113</v>
      </c>
      <c r="B114">
        <v>150</v>
      </c>
      <c r="C114">
        <v>5</v>
      </c>
      <c r="D114" t="s">
        <v>31</v>
      </c>
      <c r="E114" t="s">
        <v>23</v>
      </c>
      <c r="F114">
        <v>605</v>
      </c>
      <c r="G114">
        <v>4</v>
      </c>
      <c r="H114" s="2">
        <v>44829</v>
      </c>
      <c r="I114">
        <v>59</v>
      </c>
      <c r="J114" t="s">
        <v>16</v>
      </c>
      <c r="K114" t="s">
        <v>30</v>
      </c>
      <c r="L114">
        <f t="shared" si="2"/>
        <v>2420</v>
      </c>
      <c r="M114" t="str">
        <f t="shared" si="3"/>
        <v>50-59</v>
      </c>
    </row>
    <row r="115" spans="1:13">
      <c r="A115" s="1">
        <v>114</v>
      </c>
      <c r="B115">
        <v>200</v>
      </c>
      <c r="C115">
        <v>29</v>
      </c>
      <c r="D115" t="s">
        <v>25</v>
      </c>
      <c r="E115" t="s">
        <v>23</v>
      </c>
      <c r="F115">
        <v>928</v>
      </c>
      <c r="G115">
        <v>2</v>
      </c>
      <c r="H115" s="2">
        <v>44744</v>
      </c>
      <c r="I115">
        <v>42</v>
      </c>
      <c r="J115" t="s">
        <v>13</v>
      </c>
      <c r="K115" t="s">
        <v>20</v>
      </c>
      <c r="L115">
        <f t="shared" si="2"/>
        <v>1856</v>
      </c>
      <c r="M115" t="str">
        <f t="shared" si="3"/>
        <v>40-49</v>
      </c>
    </row>
    <row r="116" spans="1:13">
      <c r="A116" s="1">
        <v>115</v>
      </c>
      <c r="B116">
        <v>32</v>
      </c>
      <c r="C116">
        <v>37</v>
      </c>
      <c r="D116" t="s">
        <v>31</v>
      </c>
      <c r="E116" t="s">
        <v>19</v>
      </c>
      <c r="F116">
        <v>776</v>
      </c>
      <c r="G116">
        <v>3</v>
      </c>
      <c r="H116" s="2">
        <v>44574</v>
      </c>
      <c r="I116">
        <v>35</v>
      </c>
      <c r="J116" t="s">
        <v>13</v>
      </c>
      <c r="K116" t="s">
        <v>17</v>
      </c>
      <c r="L116">
        <f t="shared" si="2"/>
        <v>2328</v>
      </c>
      <c r="M116" t="str">
        <f t="shared" si="3"/>
        <v>30-39</v>
      </c>
    </row>
    <row r="117" spans="1:13">
      <c r="A117" s="1">
        <v>116</v>
      </c>
      <c r="B117">
        <v>161</v>
      </c>
      <c r="C117">
        <v>20</v>
      </c>
      <c r="D117" t="s">
        <v>28</v>
      </c>
      <c r="E117" t="s">
        <v>19</v>
      </c>
      <c r="F117">
        <v>947</v>
      </c>
      <c r="G117">
        <v>4</v>
      </c>
      <c r="H117" s="2">
        <v>44840</v>
      </c>
      <c r="I117">
        <v>57</v>
      </c>
      <c r="J117" t="s">
        <v>16</v>
      </c>
      <c r="K117" t="s">
        <v>20</v>
      </c>
      <c r="L117">
        <f t="shared" si="2"/>
        <v>3788</v>
      </c>
      <c r="M117" t="str">
        <f t="shared" si="3"/>
        <v>50-59</v>
      </c>
    </row>
    <row r="118" spans="1:13">
      <c r="A118" s="1">
        <v>117</v>
      </c>
      <c r="B118">
        <v>16</v>
      </c>
      <c r="C118">
        <v>49</v>
      </c>
      <c r="D118" t="s">
        <v>11</v>
      </c>
      <c r="E118" t="s">
        <v>19</v>
      </c>
      <c r="F118">
        <v>319</v>
      </c>
      <c r="G118">
        <v>1</v>
      </c>
      <c r="H118" s="2">
        <v>44778</v>
      </c>
      <c r="I118">
        <v>25</v>
      </c>
      <c r="J118" t="s">
        <v>13</v>
      </c>
      <c r="K118" t="s">
        <v>22</v>
      </c>
      <c r="L118">
        <f t="shared" si="2"/>
        <v>319</v>
      </c>
      <c r="M118" t="str">
        <f t="shared" si="3"/>
        <v>20-29</v>
      </c>
    </row>
    <row r="119" spans="1:13">
      <c r="A119" s="1">
        <v>118</v>
      </c>
      <c r="B119">
        <v>38</v>
      </c>
      <c r="C119">
        <v>21</v>
      </c>
      <c r="D119" t="s">
        <v>18</v>
      </c>
      <c r="E119" t="s">
        <v>12</v>
      </c>
      <c r="F119">
        <v>84</v>
      </c>
      <c r="G119">
        <v>3</v>
      </c>
      <c r="H119" s="2">
        <v>44916</v>
      </c>
      <c r="I119">
        <v>56</v>
      </c>
      <c r="J119" t="s">
        <v>16</v>
      </c>
      <c r="K119" t="s">
        <v>14</v>
      </c>
      <c r="L119">
        <f t="shared" si="2"/>
        <v>252</v>
      </c>
      <c r="M119" t="str">
        <f t="shared" si="3"/>
        <v>50-59</v>
      </c>
    </row>
    <row r="120" spans="1:13">
      <c r="A120" s="1">
        <v>119</v>
      </c>
      <c r="B120">
        <v>142</v>
      </c>
      <c r="C120">
        <v>10</v>
      </c>
      <c r="D120" t="s">
        <v>25</v>
      </c>
      <c r="E120" t="s">
        <v>19</v>
      </c>
      <c r="F120">
        <v>51</v>
      </c>
      <c r="G120">
        <v>2</v>
      </c>
      <c r="H120" s="2">
        <v>44922</v>
      </c>
      <c r="I120">
        <v>57</v>
      </c>
      <c r="J120" t="s">
        <v>16</v>
      </c>
      <c r="K120" t="s">
        <v>30</v>
      </c>
      <c r="L120">
        <f t="shared" si="2"/>
        <v>102</v>
      </c>
      <c r="M120" t="str">
        <f t="shared" si="3"/>
        <v>50-59</v>
      </c>
    </row>
    <row r="121" spans="1:13">
      <c r="A121" s="1">
        <v>120</v>
      </c>
      <c r="B121">
        <v>36</v>
      </c>
      <c r="C121">
        <v>5</v>
      </c>
      <c r="D121" t="s">
        <v>25</v>
      </c>
      <c r="E121" t="s">
        <v>23</v>
      </c>
      <c r="F121">
        <v>416</v>
      </c>
      <c r="G121">
        <v>1</v>
      </c>
      <c r="H121" s="2">
        <v>44847</v>
      </c>
      <c r="I121">
        <v>31</v>
      </c>
      <c r="J121" t="s">
        <v>13</v>
      </c>
      <c r="K121" t="s">
        <v>30</v>
      </c>
      <c r="L121">
        <f t="shared" si="2"/>
        <v>416</v>
      </c>
      <c r="M121" t="str">
        <f t="shared" si="3"/>
        <v>30-39</v>
      </c>
    </row>
    <row r="122" spans="1:13">
      <c r="A122" s="1">
        <v>121</v>
      </c>
      <c r="B122">
        <v>151</v>
      </c>
      <c r="C122">
        <v>36</v>
      </c>
      <c r="D122" t="s">
        <v>26</v>
      </c>
      <c r="E122" t="s">
        <v>19</v>
      </c>
      <c r="F122">
        <v>130</v>
      </c>
      <c r="G122">
        <v>1</v>
      </c>
      <c r="H122" s="2">
        <v>44834</v>
      </c>
      <c r="I122">
        <v>49</v>
      </c>
      <c r="J122" t="s">
        <v>16</v>
      </c>
      <c r="K122" t="s">
        <v>30</v>
      </c>
      <c r="L122">
        <f t="shared" si="2"/>
        <v>130</v>
      </c>
      <c r="M122" t="str">
        <f t="shared" si="3"/>
        <v>40-49</v>
      </c>
    </row>
    <row r="123" spans="1:13">
      <c r="A123" s="1">
        <v>122</v>
      </c>
      <c r="B123">
        <v>114</v>
      </c>
      <c r="C123">
        <v>6</v>
      </c>
      <c r="D123" t="s">
        <v>29</v>
      </c>
      <c r="E123" t="s">
        <v>12</v>
      </c>
      <c r="F123">
        <v>155</v>
      </c>
      <c r="G123">
        <v>1</v>
      </c>
      <c r="H123" s="2">
        <v>44623</v>
      </c>
      <c r="I123">
        <v>55</v>
      </c>
      <c r="J123" t="s">
        <v>13</v>
      </c>
      <c r="K123" t="s">
        <v>20</v>
      </c>
      <c r="L123">
        <f t="shared" si="2"/>
        <v>155</v>
      </c>
      <c r="M123" t="str">
        <f t="shared" si="3"/>
        <v>50-59</v>
      </c>
    </row>
    <row r="124" spans="1:13">
      <c r="A124" s="1">
        <v>123</v>
      </c>
      <c r="B124">
        <v>66</v>
      </c>
      <c r="C124">
        <v>26</v>
      </c>
      <c r="D124" t="s">
        <v>15</v>
      </c>
      <c r="E124" t="s">
        <v>23</v>
      </c>
      <c r="F124">
        <v>255</v>
      </c>
      <c r="G124">
        <v>3</v>
      </c>
      <c r="H124" s="2">
        <v>44645</v>
      </c>
      <c r="I124">
        <v>50</v>
      </c>
      <c r="J124" t="s">
        <v>16</v>
      </c>
      <c r="K124" t="s">
        <v>14</v>
      </c>
      <c r="L124">
        <f t="shared" si="2"/>
        <v>765</v>
      </c>
      <c r="M124" t="str">
        <f t="shared" si="3"/>
        <v>50-59</v>
      </c>
    </row>
    <row r="125" spans="1:13">
      <c r="A125" s="1">
        <v>124</v>
      </c>
      <c r="B125">
        <v>105</v>
      </c>
      <c r="C125">
        <v>4</v>
      </c>
      <c r="D125" t="s">
        <v>15</v>
      </c>
      <c r="E125" t="s">
        <v>19</v>
      </c>
      <c r="F125">
        <v>155</v>
      </c>
      <c r="G125">
        <v>2</v>
      </c>
      <c r="H125" s="2">
        <v>44778</v>
      </c>
      <c r="I125">
        <v>40</v>
      </c>
      <c r="J125" t="s">
        <v>13</v>
      </c>
      <c r="K125" t="s">
        <v>17</v>
      </c>
      <c r="L125">
        <f t="shared" si="2"/>
        <v>310</v>
      </c>
      <c r="M125" t="str">
        <f t="shared" si="3"/>
        <v>40-49</v>
      </c>
    </row>
    <row r="126" spans="1:13">
      <c r="A126" s="1">
        <v>125</v>
      </c>
      <c r="B126">
        <v>85</v>
      </c>
      <c r="C126">
        <v>39</v>
      </c>
      <c r="D126" t="s">
        <v>15</v>
      </c>
      <c r="E126" t="s">
        <v>12</v>
      </c>
      <c r="F126">
        <v>437</v>
      </c>
      <c r="G126">
        <v>1</v>
      </c>
      <c r="H126" s="2">
        <v>44903</v>
      </c>
      <c r="I126">
        <v>32</v>
      </c>
      <c r="J126" t="s">
        <v>13</v>
      </c>
      <c r="K126" t="s">
        <v>22</v>
      </c>
      <c r="L126">
        <f t="shared" si="2"/>
        <v>437</v>
      </c>
      <c r="M126" t="str">
        <f t="shared" si="3"/>
        <v>30-39</v>
      </c>
    </row>
    <row r="127" spans="1:13">
      <c r="A127" s="1">
        <v>126</v>
      </c>
      <c r="B127">
        <v>2</v>
      </c>
      <c r="C127">
        <v>39</v>
      </c>
      <c r="D127" t="s">
        <v>29</v>
      </c>
      <c r="E127" t="s">
        <v>19</v>
      </c>
      <c r="F127">
        <v>779</v>
      </c>
      <c r="G127">
        <v>4</v>
      </c>
      <c r="H127" s="2">
        <v>44748</v>
      </c>
      <c r="I127">
        <v>50</v>
      </c>
      <c r="J127" t="s">
        <v>13</v>
      </c>
      <c r="K127" t="s">
        <v>17</v>
      </c>
      <c r="L127">
        <f t="shared" si="2"/>
        <v>3116</v>
      </c>
      <c r="M127" t="str">
        <f t="shared" si="3"/>
        <v>50-59</v>
      </c>
    </row>
    <row r="128" spans="1:13">
      <c r="A128" s="1">
        <v>127</v>
      </c>
      <c r="B128">
        <v>193</v>
      </c>
      <c r="C128">
        <v>50</v>
      </c>
      <c r="D128" t="s">
        <v>26</v>
      </c>
      <c r="E128" t="s">
        <v>19</v>
      </c>
      <c r="F128">
        <v>51</v>
      </c>
      <c r="G128">
        <v>1</v>
      </c>
      <c r="H128" s="2">
        <v>44580</v>
      </c>
      <c r="I128">
        <v>42</v>
      </c>
      <c r="J128" t="s">
        <v>16</v>
      </c>
      <c r="K128" t="s">
        <v>20</v>
      </c>
      <c r="L128">
        <f t="shared" si="2"/>
        <v>51</v>
      </c>
      <c r="M128" t="str">
        <f t="shared" si="3"/>
        <v>40-49</v>
      </c>
    </row>
    <row r="129" spans="1:13">
      <c r="A129" s="1">
        <v>128</v>
      </c>
      <c r="B129">
        <v>75</v>
      </c>
      <c r="C129">
        <v>35</v>
      </c>
      <c r="D129" t="s">
        <v>29</v>
      </c>
      <c r="E129" t="s">
        <v>19</v>
      </c>
      <c r="F129">
        <v>779</v>
      </c>
      <c r="G129">
        <v>1</v>
      </c>
      <c r="H129" s="2">
        <v>44738</v>
      </c>
      <c r="I129">
        <v>34</v>
      </c>
      <c r="J129" t="s">
        <v>16</v>
      </c>
      <c r="K129" t="s">
        <v>22</v>
      </c>
      <c r="L129">
        <f t="shared" si="2"/>
        <v>779</v>
      </c>
      <c r="M129" t="str">
        <f t="shared" si="3"/>
        <v>30-39</v>
      </c>
    </row>
    <row r="130" spans="1:13">
      <c r="A130" s="1">
        <v>129</v>
      </c>
      <c r="B130">
        <v>67</v>
      </c>
      <c r="C130">
        <v>1</v>
      </c>
      <c r="D130" t="s">
        <v>15</v>
      </c>
      <c r="E130" t="s">
        <v>12</v>
      </c>
      <c r="F130">
        <v>821</v>
      </c>
      <c r="G130">
        <v>3</v>
      </c>
      <c r="H130" s="2">
        <v>44661</v>
      </c>
      <c r="I130">
        <v>50</v>
      </c>
      <c r="J130" t="s">
        <v>13</v>
      </c>
      <c r="K130" t="s">
        <v>30</v>
      </c>
      <c r="L130">
        <f t="shared" si="2"/>
        <v>2463</v>
      </c>
      <c r="M130" t="str">
        <f t="shared" si="3"/>
        <v>50-59</v>
      </c>
    </row>
    <row r="131" spans="1:13">
      <c r="A131" s="1">
        <v>130</v>
      </c>
      <c r="B131">
        <v>180</v>
      </c>
      <c r="C131">
        <v>24</v>
      </c>
      <c r="D131" t="s">
        <v>28</v>
      </c>
      <c r="E131" t="s">
        <v>23</v>
      </c>
      <c r="F131">
        <v>921</v>
      </c>
      <c r="G131">
        <v>3</v>
      </c>
      <c r="H131" s="2">
        <v>44794</v>
      </c>
      <c r="I131">
        <v>64</v>
      </c>
      <c r="J131" t="s">
        <v>13</v>
      </c>
      <c r="K131" t="s">
        <v>24</v>
      </c>
      <c r="L131">
        <f t="shared" ref="L131:L194" si="4">F131*G131</f>
        <v>2763</v>
      </c>
      <c r="M131" t="str">
        <f t="shared" ref="M131:M194" si="5">IF(I131&lt;20,"Under 20",IF(I131&lt;30,"20-29",IF(I131&lt;40,"30-39",IF(I131&lt;50,"40-49",IF(I131&lt;60,"50-59","Above 60")))))</f>
        <v>Above 60</v>
      </c>
    </row>
    <row r="132" spans="1:13">
      <c r="A132" s="1">
        <v>131</v>
      </c>
      <c r="B132">
        <v>190</v>
      </c>
      <c r="C132">
        <v>36</v>
      </c>
      <c r="D132" t="s">
        <v>27</v>
      </c>
      <c r="E132" t="s">
        <v>19</v>
      </c>
      <c r="F132">
        <v>558</v>
      </c>
      <c r="G132">
        <v>2</v>
      </c>
      <c r="H132" s="2">
        <v>44637</v>
      </c>
      <c r="I132">
        <v>19</v>
      </c>
      <c r="J132" t="s">
        <v>16</v>
      </c>
      <c r="K132" t="s">
        <v>20</v>
      </c>
      <c r="L132">
        <f t="shared" si="4"/>
        <v>1116</v>
      </c>
      <c r="M132" t="str">
        <f t="shared" si="5"/>
        <v>Under 20</v>
      </c>
    </row>
    <row r="133" spans="1:13">
      <c r="A133" s="1">
        <v>132</v>
      </c>
      <c r="B133">
        <v>151</v>
      </c>
      <c r="C133">
        <v>6</v>
      </c>
      <c r="D133" t="s">
        <v>11</v>
      </c>
      <c r="E133" t="s">
        <v>19</v>
      </c>
      <c r="F133">
        <v>751</v>
      </c>
      <c r="G133">
        <v>4</v>
      </c>
      <c r="H133" s="2">
        <v>44826</v>
      </c>
      <c r="I133">
        <v>31</v>
      </c>
      <c r="J133" t="s">
        <v>16</v>
      </c>
      <c r="K133" t="s">
        <v>20</v>
      </c>
      <c r="L133">
        <f t="shared" si="4"/>
        <v>3004</v>
      </c>
      <c r="M133" t="str">
        <f t="shared" si="5"/>
        <v>30-39</v>
      </c>
    </row>
    <row r="134" spans="1:13">
      <c r="A134" s="1">
        <v>133</v>
      </c>
      <c r="B134">
        <v>154</v>
      </c>
      <c r="C134">
        <v>41</v>
      </c>
      <c r="D134" t="s">
        <v>29</v>
      </c>
      <c r="E134" t="s">
        <v>12</v>
      </c>
      <c r="F134">
        <v>504</v>
      </c>
      <c r="G134">
        <v>3</v>
      </c>
      <c r="H134" s="2">
        <v>44845</v>
      </c>
      <c r="I134">
        <v>57</v>
      </c>
      <c r="J134" t="s">
        <v>16</v>
      </c>
      <c r="K134" t="s">
        <v>14</v>
      </c>
      <c r="L134">
        <f t="shared" si="4"/>
        <v>1512</v>
      </c>
      <c r="M134" t="str">
        <f t="shared" si="5"/>
        <v>50-59</v>
      </c>
    </row>
    <row r="135" spans="1:13">
      <c r="A135" s="1">
        <v>134</v>
      </c>
      <c r="B135">
        <v>196</v>
      </c>
      <c r="C135">
        <v>46</v>
      </c>
      <c r="D135" t="s">
        <v>26</v>
      </c>
      <c r="E135" t="s">
        <v>12</v>
      </c>
      <c r="F135">
        <v>526</v>
      </c>
      <c r="G135">
        <v>1</v>
      </c>
      <c r="H135" s="2">
        <v>44767</v>
      </c>
      <c r="I135">
        <v>57</v>
      </c>
      <c r="J135" t="s">
        <v>13</v>
      </c>
      <c r="K135" t="s">
        <v>17</v>
      </c>
      <c r="L135">
        <f t="shared" si="4"/>
        <v>526</v>
      </c>
      <c r="M135" t="str">
        <f t="shared" si="5"/>
        <v>50-59</v>
      </c>
    </row>
    <row r="136" spans="1:13">
      <c r="A136" s="1">
        <v>135</v>
      </c>
      <c r="B136">
        <v>55</v>
      </c>
      <c r="C136">
        <v>44</v>
      </c>
      <c r="D136" t="s">
        <v>26</v>
      </c>
      <c r="E136" t="s">
        <v>19</v>
      </c>
      <c r="F136">
        <v>779</v>
      </c>
      <c r="G136">
        <v>2</v>
      </c>
      <c r="H136" s="2">
        <v>44784</v>
      </c>
      <c r="I136">
        <v>56</v>
      </c>
      <c r="J136" t="s">
        <v>16</v>
      </c>
      <c r="K136" t="s">
        <v>20</v>
      </c>
      <c r="L136">
        <f t="shared" si="4"/>
        <v>1558</v>
      </c>
      <c r="M136" t="str">
        <f t="shared" si="5"/>
        <v>50-59</v>
      </c>
    </row>
    <row r="137" spans="1:13">
      <c r="A137" s="1">
        <v>136</v>
      </c>
      <c r="B137">
        <v>6</v>
      </c>
      <c r="C137">
        <v>31</v>
      </c>
      <c r="D137" t="s">
        <v>31</v>
      </c>
      <c r="E137" t="s">
        <v>23</v>
      </c>
      <c r="F137">
        <v>558</v>
      </c>
      <c r="G137">
        <v>1</v>
      </c>
      <c r="H137" s="2">
        <v>44613</v>
      </c>
      <c r="I137">
        <v>23</v>
      </c>
      <c r="J137" t="s">
        <v>16</v>
      </c>
      <c r="K137" t="s">
        <v>20</v>
      </c>
      <c r="L137">
        <f t="shared" si="4"/>
        <v>558</v>
      </c>
      <c r="M137" t="str">
        <f t="shared" si="5"/>
        <v>20-29</v>
      </c>
    </row>
    <row r="138" spans="1:13">
      <c r="A138" s="1">
        <v>137</v>
      </c>
      <c r="B138">
        <v>163</v>
      </c>
      <c r="C138">
        <v>20</v>
      </c>
      <c r="D138" t="s">
        <v>27</v>
      </c>
      <c r="E138" t="s">
        <v>12</v>
      </c>
      <c r="F138">
        <v>611</v>
      </c>
      <c r="G138">
        <v>1</v>
      </c>
      <c r="H138" s="2">
        <v>44900</v>
      </c>
      <c r="I138">
        <v>23</v>
      </c>
      <c r="J138" t="s">
        <v>13</v>
      </c>
      <c r="K138" t="s">
        <v>30</v>
      </c>
      <c r="L138">
        <f t="shared" si="4"/>
        <v>611</v>
      </c>
      <c r="M138" t="str">
        <f t="shared" si="5"/>
        <v>20-29</v>
      </c>
    </row>
    <row r="139" spans="1:13">
      <c r="A139" s="1">
        <v>138</v>
      </c>
      <c r="B139">
        <v>150</v>
      </c>
      <c r="C139">
        <v>24</v>
      </c>
      <c r="D139" t="s">
        <v>18</v>
      </c>
      <c r="E139" t="s">
        <v>19</v>
      </c>
      <c r="F139">
        <v>395</v>
      </c>
      <c r="G139">
        <v>3</v>
      </c>
      <c r="H139" s="2">
        <v>44705</v>
      </c>
      <c r="I139">
        <v>20</v>
      </c>
      <c r="J139" t="s">
        <v>16</v>
      </c>
      <c r="K139" t="s">
        <v>30</v>
      </c>
      <c r="L139">
        <f t="shared" si="4"/>
        <v>1185</v>
      </c>
      <c r="M139" t="str">
        <f t="shared" si="5"/>
        <v>20-29</v>
      </c>
    </row>
    <row r="140" spans="1:13">
      <c r="A140" s="1">
        <v>139</v>
      </c>
      <c r="B140">
        <v>171</v>
      </c>
      <c r="C140">
        <v>25</v>
      </c>
      <c r="D140" t="s">
        <v>25</v>
      </c>
      <c r="E140" t="s">
        <v>23</v>
      </c>
      <c r="F140">
        <v>141</v>
      </c>
      <c r="G140">
        <v>2</v>
      </c>
      <c r="H140" s="2">
        <v>44630</v>
      </c>
      <c r="I140">
        <v>24</v>
      </c>
      <c r="J140" t="s">
        <v>16</v>
      </c>
      <c r="K140" t="s">
        <v>22</v>
      </c>
      <c r="L140">
        <f t="shared" si="4"/>
        <v>282</v>
      </c>
      <c r="M140" t="str">
        <f t="shared" si="5"/>
        <v>20-29</v>
      </c>
    </row>
    <row r="141" spans="1:13">
      <c r="A141" s="1">
        <v>140</v>
      </c>
      <c r="B141">
        <v>143</v>
      </c>
      <c r="C141">
        <v>36</v>
      </c>
      <c r="D141" t="s">
        <v>15</v>
      </c>
      <c r="E141" t="s">
        <v>23</v>
      </c>
      <c r="F141">
        <v>389</v>
      </c>
      <c r="G141">
        <v>4</v>
      </c>
      <c r="H141" s="2">
        <v>44660</v>
      </c>
      <c r="I141">
        <v>25</v>
      </c>
      <c r="J141" t="s">
        <v>16</v>
      </c>
      <c r="K141" t="s">
        <v>24</v>
      </c>
      <c r="L141">
        <f t="shared" si="4"/>
        <v>1556</v>
      </c>
      <c r="M141" t="str">
        <f t="shared" si="5"/>
        <v>20-29</v>
      </c>
    </row>
    <row r="142" spans="1:13">
      <c r="A142" s="1">
        <v>141</v>
      </c>
      <c r="B142">
        <v>86</v>
      </c>
      <c r="C142">
        <v>21</v>
      </c>
      <c r="D142" t="s">
        <v>18</v>
      </c>
      <c r="E142" t="s">
        <v>19</v>
      </c>
      <c r="F142">
        <v>451</v>
      </c>
      <c r="G142">
        <v>4</v>
      </c>
      <c r="H142" s="2">
        <v>44586</v>
      </c>
      <c r="I142">
        <v>59</v>
      </c>
      <c r="J142" t="s">
        <v>13</v>
      </c>
      <c r="K142" t="s">
        <v>14</v>
      </c>
      <c r="L142">
        <f t="shared" si="4"/>
        <v>1804</v>
      </c>
      <c r="M142" t="str">
        <f t="shared" si="5"/>
        <v>50-59</v>
      </c>
    </row>
    <row r="143" spans="1:13">
      <c r="A143" s="1">
        <v>142</v>
      </c>
      <c r="B143">
        <v>60</v>
      </c>
      <c r="C143">
        <v>30</v>
      </c>
      <c r="D143" t="s">
        <v>31</v>
      </c>
      <c r="E143" t="s">
        <v>19</v>
      </c>
      <c r="F143">
        <v>751</v>
      </c>
      <c r="G143">
        <v>3</v>
      </c>
      <c r="H143" s="2">
        <v>44614</v>
      </c>
      <c r="I143">
        <v>32</v>
      </c>
      <c r="J143" t="s">
        <v>13</v>
      </c>
      <c r="K143" t="s">
        <v>24</v>
      </c>
      <c r="L143">
        <f t="shared" si="4"/>
        <v>2253</v>
      </c>
      <c r="M143" t="str">
        <f t="shared" si="5"/>
        <v>30-39</v>
      </c>
    </row>
    <row r="144" spans="1:13">
      <c r="A144" s="1">
        <v>143</v>
      </c>
      <c r="B144">
        <v>101</v>
      </c>
      <c r="C144">
        <v>24</v>
      </c>
      <c r="D144" t="s">
        <v>15</v>
      </c>
      <c r="E144" t="s">
        <v>19</v>
      </c>
      <c r="F144">
        <v>389</v>
      </c>
      <c r="G144">
        <v>3</v>
      </c>
      <c r="H144" s="2">
        <v>44712</v>
      </c>
      <c r="I144">
        <v>64</v>
      </c>
      <c r="J144" t="s">
        <v>13</v>
      </c>
      <c r="K144" t="s">
        <v>22</v>
      </c>
      <c r="L144">
        <f t="shared" si="4"/>
        <v>1167</v>
      </c>
      <c r="M144" t="str">
        <f t="shared" si="5"/>
        <v>Above 60</v>
      </c>
    </row>
    <row r="145" spans="1:13">
      <c r="A145" s="1">
        <v>144</v>
      </c>
      <c r="B145">
        <v>12</v>
      </c>
      <c r="C145">
        <v>44</v>
      </c>
      <c r="D145" t="s">
        <v>27</v>
      </c>
      <c r="E145" t="s">
        <v>23</v>
      </c>
      <c r="F145">
        <v>921</v>
      </c>
      <c r="G145">
        <v>2</v>
      </c>
      <c r="H145" s="2">
        <v>44705</v>
      </c>
      <c r="I145">
        <v>46</v>
      </c>
      <c r="J145" t="s">
        <v>13</v>
      </c>
      <c r="K145" t="s">
        <v>30</v>
      </c>
      <c r="L145">
        <f t="shared" si="4"/>
        <v>1842</v>
      </c>
      <c r="M145" t="str">
        <f t="shared" si="5"/>
        <v>40-49</v>
      </c>
    </row>
    <row r="146" spans="1:13">
      <c r="A146" s="1">
        <v>145</v>
      </c>
      <c r="B146">
        <v>49</v>
      </c>
      <c r="C146">
        <v>42</v>
      </c>
      <c r="D146" t="s">
        <v>31</v>
      </c>
      <c r="E146" t="s">
        <v>23</v>
      </c>
      <c r="F146">
        <v>526</v>
      </c>
      <c r="G146">
        <v>4</v>
      </c>
      <c r="H146" s="2">
        <v>44618</v>
      </c>
      <c r="I146">
        <v>50</v>
      </c>
      <c r="J146" t="s">
        <v>13</v>
      </c>
      <c r="K146" t="s">
        <v>17</v>
      </c>
      <c r="L146">
        <f t="shared" si="4"/>
        <v>2104</v>
      </c>
      <c r="M146" t="str">
        <f t="shared" si="5"/>
        <v>50-59</v>
      </c>
    </row>
    <row r="147" spans="1:13">
      <c r="A147" s="1">
        <v>146</v>
      </c>
      <c r="B147">
        <v>42</v>
      </c>
      <c r="C147">
        <v>30</v>
      </c>
      <c r="D147" t="s">
        <v>15</v>
      </c>
      <c r="E147" t="s">
        <v>23</v>
      </c>
      <c r="F147">
        <v>51</v>
      </c>
      <c r="G147">
        <v>4</v>
      </c>
      <c r="H147" s="2">
        <v>44600</v>
      </c>
      <c r="I147">
        <v>47</v>
      </c>
      <c r="J147" t="s">
        <v>13</v>
      </c>
      <c r="K147" t="s">
        <v>30</v>
      </c>
      <c r="L147">
        <f t="shared" si="4"/>
        <v>204</v>
      </c>
      <c r="M147" t="str">
        <f t="shared" si="5"/>
        <v>40-49</v>
      </c>
    </row>
    <row r="148" spans="1:13">
      <c r="A148" s="1">
        <v>147</v>
      </c>
      <c r="B148">
        <v>166</v>
      </c>
      <c r="C148">
        <v>22</v>
      </c>
      <c r="D148" t="s">
        <v>27</v>
      </c>
      <c r="E148" t="s">
        <v>12</v>
      </c>
      <c r="F148">
        <v>751</v>
      </c>
      <c r="G148">
        <v>4</v>
      </c>
      <c r="H148" s="2">
        <v>44670</v>
      </c>
      <c r="I148">
        <v>56</v>
      </c>
      <c r="J148" t="s">
        <v>13</v>
      </c>
      <c r="K148" t="s">
        <v>14</v>
      </c>
      <c r="L148">
        <f t="shared" si="4"/>
        <v>3004</v>
      </c>
      <c r="M148" t="str">
        <f t="shared" si="5"/>
        <v>50-59</v>
      </c>
    </row>
    <row r="149" spans="1:13">
      <c r="A149" s="1">
        <v>148</v>
      </c>
      <c r="B149">
        <v>82</v>
      </c>
      <c r="C149">
        <v>28</v>
      </c>
      <c r="D149" t="s">
        <v>21</v>
      </c>
      <c r="E149" t="s">
        <v>23</v>
      </c>
      <c r="F149">
        <v>841</v>
      </c>
      <c r="G149">
        <v>1</v>
      </c>
      <c r="H149" s="2">
        <v>44742</v>
      </c>
      <c r="I149">
        <v>44</v>
      </c>
      <c r="J149" t="s">
        <v>16</v>
      </c>
      <c r="K149" t="s">
        <v>30</v>
      </c>
      <c r="L149">
        <f t="shared" si="4"/>
        <v>841</v>
      </c>
      <c r="M149" t="str">
        <f t="shared" si="5"/>
        <v>40-49</v>
      </c>
    </row>
    <row r="150" spans="1:13">
      <c r="A150" s="1">
        <v>149</v>
      </c>
      <c r="B150">
        <v>173</v>
      </c>
      <c r="C150">
        <v>7</v>
      </c>
      <c r="D150" t="s">
        <v>18</v>
      </c>
      <c r="E150" t="s">
        <v>12</v>
      </c>
      <c r="F150">
        <v>752</v>
      </c>
      <c r="G150">
        <v>4</v>
      </c>
      <c r="H150" s="2">
        <v>44603</v>
      </c>
      <c r="I150">
        <v>53</v>
      </c>
      <c r="J150" t="s">
        <v>16</v>
      </c>
      <c r="K150" t="s">
        <v>14</v>
      </c>
      <c r="L150">
        <f t="shared" si="4"/>
        <v>3008</v>
      </c>
      <c r="M150" t="str">
        <f t="shared" si="5"/>
        <v>50-59</v>
      </c>
    </row>
    <row r="151" spans="1:13">
      <c r="A151" s="1">
        <v>150</v>
      </c>
      <c r="B151">
        <v>35</v>
      </c>
      <c r="C151">
        <v>35</v>
      </c>
      <c r="D151" t="s">
        <v>18</v>
      </c>
      <c r="E151" t="s">
        <v>12</v>
      </c>
      <c r="F151">
        <v>841</v>
      </c>
      <c r="G151">
        <v>1</v>
      </c>
      <c r="H151" s="2">
        <v>44747</v>
      </c>
      <c r="I151">
        <v>46</v>
      </c>
      <c r="J151" t="s">
        <v>13</v>
      </c>
      <c r="K151" t="s">
        <v>14</v>
      </c>
      <c r="L151">
        <f t="shared" si="4"/>
        <v>841</v>
      </c>
      <c r="M151" t="str">
        <f t="shared" si="5"/>
        <v>40-49</v>
      </c>
    </row>
    <row r="152" spans="1:13">
      <c r="A152" s="1">
        <v>151</v>
      </c>
      <c r="B152">
        <v>158</v>
      </c>
      <c r="C152">
        <v>28</v>
      </c>
      <c r="D152" t="s">
        <v>25</v>
      </c>
      <c r="E152" t="s">
        <v>19</v>
      </c>
      <c r="F152">
        <v>992</v>
      </c>
      <c r="G152">
        <v>2</v>
      </c>
      <c r="H152" s="2">
        <v>44784</v>
      </c>
      <c r="I152">
        <v>55</v>
      </c>
      <c r="J152" t="s">
        <v>16</v>
      </c>
      <c r="K152" t="s">
        <v>14</v>
      </c>
      <c r="L152">
        <f t="shared" si="4"/>
        <v>1984</v>
      </c>
      <c r="M152" t="str">
        <f t="shared" si="5"/>
        <v>50-59</v>
      </c>
    </row>
    <row r="153" spans="1:13">
      <c r="A153" s="1">
        <v>152</v>
      </c>
      <c r="B153">
        <v>158</v>
      </c>
      <c r="C153">
        <v>14</v>
      </c>
      <c r="D153" t="s">
        <v>27</v>
      </c>
      <c r="E153" t="s">
        <v>19</v>
      </c>
      <c r="F153">
        <v>416</v>
      </c>
      <c r="G153">
        <v>1</v>
      </c>
      <c r="H153" s="2">
        <v>44683</v>
      </c>
      <c r="I153">
        <v>50</v>
      </c>
      <c r="J153" t="s">
        <v>16</v>
      </c>
      <c r="K153" t="s">
        <v>22</v>
      </c>
      <c r="L153">
        <f t="shared" si="4"/>
        <v>416</v>
      </c>
      <c r="M153" t="str">
        <f t="shared" si="5"/>
        <v>50-59</v>
      </c>
    </row>
    <row r="154" spans="1:13">
      <c r="A154" s="1">
        <v>153</v>
      </c>
      <c r="B154">
        <v>134</v>
      </c>
      <c r="C154">
        <v>10</v>
      </c>
      <c r="D154" t="s">
        <v>29</v>
      </c>
      <c r="E154" t="s">
        <v>19</v>
      </c>
      <c r="F154">
        <v>614</v>
      </c>
      <c r="G154">
        <v>2</v>
      </c>
      <c r="H154" s="2">
        <v>44694</v>
      </c>
      <c r="I154">
        <v>54</v>
      </c>
      <c r="J154" t="s">
        <v>13</v>
      </c>
      <c r="K154" t="s">
        <v>14</v>
      </c>
      <c r="L154">
        <f t="shared" si="4"/>
        <v>1228</v>
      </c>
      <c r="M154" t="str">
        <f t="shared" si="5"/>
        <v>50-59</v>
      </c>
    </row>
    <row r="155" spans="1:13">
      <c r="A155" s="1">
        <v>154</v>
      </c>
      <c r="B155">
        <v>67</v>
      </c>
      <c r="C155">
        <v>16</v>
      </c>
      <c r="D155" t="s">
        <v>21</v>
      </c>
      <c r="E155" t="s">
        <v>19</v>
      </c>
      <c r="F155">
        <v>558</v>
      </c>
      <c r="G155">
        <v>4</v>
      </c>
      <c r="H155" s="2">
        <v>44724</v>
      </c>
      <c r="I155">
        <v>44</v>
      </c>
      <c r="J155" t="s">
        <v>16</v>
      </c>
      <c r="K155" t="s">
        <v>14</v>
      </c>
      <c r="L155">
        <f t="shared" si="4"/>
        <v>2232</v>
      </c>
      <c r="M155" t="str">
        <f t="shared" si="5"/>
        <v>40-49</v>
      </c>
    </row>
    <row r="156" spans="1:13">
      <c r="A156" s="1">
        <v>155</v>
      </c>
      <c r="B156">
        <v>80</v>
      </c>
      <c r="C156">
        <v>16</v>
      </c>
      <c r="D156" t="s">
        <v>28</v>
      </c>
      <c r="E156" t="s">
        <v>12</v>
      </c>
      <c r="F156">
        <v>912</v>
      </c>
      <c r="G156">
        <v>4</v>
      </c>
      <c r="H156" s="2">
        <v>44776</v>
      </c>
      <c r="I156">
        <v>50</v>
      </c>
      <c r="J156" t="s">
        <v>16</v>
      </c>
      <c r="K156" t="s">
        <v>17</v>
      </c>
      <c r="L156">
        <f t="shared" si="4"/>
        <v>3648</v>
      </c>
      <c r="M156" t="str">
        <f t="shared" si="5"/>
        <v>50-59</v>
      </c>
    </row>
    <row r="157" spans="1:13">
      <c r="A157" s="1">
        <v>156</v>
      </c>
      <c r="B157">
        <v>7</v>
      </c>
      <c r="C157">
        <v>31</v>
      </c>
      <c r="D157" t="s">
        <v>15</v>
      </c>
      <c r="E157" t="s">
        <v>19</v>
      </c>
      <c r="F157">
        <v>871</v>
      </c>
      <c r="G157">
        <v>2</v>
      </c>
      <c r="H157" s="2">
        <v>44782</v>
      </c>
      <c r="I157">
        <v>21</v>
      </c>
      <c r="J157" t="s">
        <v>16</v>
      </c>
      <c r="K157" t="s">
        <v>24</v>
      </c>
      <c r="L157">
        <f t="shared" si="4"/>
        <v>1742</v>
      </c>
      <c r="M157" t="str">
        <f t="shared" si="5"/>
        <v>20-29</v>
      </c>
    </row>
    <row r="158" spans="1:13">
      <c r="A158" s="1">
        <v>157</v>
      </c>
      <c r="B158">
        <v>180</v>
      </c>
      <c r="C158">
        <v>42</v>
      </c>
      <c r="D158" t="s">
        <v>21</v>
      </c>
      <c r="E158" t="s">
        <v>23</v>
      </c>
      <c r="F158">
        <v>865</v>
      </c>
      <c r="G158">
        <v>3</v>
      </c>
      <c r="H158" s="2">
        <v>44796</v>
      </c>
      <c r="I158">
        <v>39</v>
      </c>
      <c r="J158" t="s">
        <v>16</v>
      </c>
      <c r="K158" t="s">
        <v>20</v>
      </c>
      <c r="L158">
        <f t="shared" si="4"/>
        <v>2595</v>
      </c>
      <c r="M158" t="str">
        <f t="shared" si="5"/>
        <v>30-39</v>
      </c>
    </row>
    <row r="159" spans="1:13">
      <c r="A159" s="1">
        <v>158</v>
      </c>
      <c r="B159">
        <v>14</v>
      </c>
      <c r="C159">
        <v>25</v>
      </c>
      <c r="D159" t="s">
        <v>27</v>
      </c>
      <c r="E159" t="s">
        <v>23</v>
      </c>
      <c r="F159">
        <v>981</v>
      </c>
      <c r="G159">
        <v>2</v>
      </c>
      <c r="H159" s="2">
        <v>44892</v>
      </c>
      <c r="I159">
        <v>19</v>
      </c>
      <c r="J159" t="s">
        <v>16</v>
      </c>
      <c r="K159" t="s">
        <v>24</v>
      </c>
      <c r="L159">
        <f t="shared" si="4"/>
        <v>1962</v>
      </c>
      <c r="M159" t="str">
        <f t="shared" si="5"/>
        <v>Under 20</v>
      </c>
    </row>
    <row r="160" spans="1:13">
      <c r="A160" s="1">
        <v>159</v>
      </c>
      <c r="B160">
        <v>73</v>
      </c>
      <c r="C160">
        <v>13</v>
      </c>
      <c r="D160" t="s">
        <v>11</v>
      </c>
      <c r="E160" t="s">
        <v>19</v>
      </c>
      <c r="F160">
        <v>395</v>
      </c>
      <c r="G160">
        <v>3</v>
      </c>
      <c r="H160" s="2">
        <v>44707</v>
      </c>
      <c r="I160">
        <v>27</v>
      </c>
      <c r="J160" t="s">
        <v>13</v>
      </c>
      <c r="K160" t="s">
        <v>14</v>
      </c>
      <c r="L160">
        <f t="shared" si="4"/>
        <v>1185</v>
      </c>
      <c r="M160" t="str">
        <f t="shared" si="5"/>
        <v>20-29</v>
      </c>
    </row>
    <row r="161" spans="1:13">
      <c r="A161" s="1">
        <v>160</v>
      </c>
      <c r="B161">
        <v>143</v>
      </c>
      <c r="C161">
        <v>6</v>
      </c>
      <c r="D161" t="s">
        <v>15</v>
      </c>
      <c r="E161" t="s">
        <v>12</v>
      </c>
      <c r="F161">
        <v>821</v>
      </c>
      <c r="G161">
        <v>1</v>
      </c>
      <c r="H161" s="2">
        <v>44800</v>
      </c>
      <c r="I161">
        <v>22</v>
      </c>
      <c r="J161" t="s">
        <v>13</v>
      </c>
      <c r="K161" t="s">
        <v>17</v>
      </c>
      <c r="L161">
        <f t="shared" si="4"/>
        <v>821</v>
      </c>
      <c r="M161" t="str">
        <f t="shared" si="5"/>
        <v>20-29</v>
      </c>
    </row>
    <row r="162" spans="1:13">
      <c r="A162" s="1">
        <v>161</v>
      </c>
      <c r="B162">
        <v>149</v>
      </c>
      <c r="C162">
        <v>44</v>
      </c>
      <c r="D162" t="s">
        <v>26</v>
      </c>
      <c r="E162" t="s">
        <v>23</v>
      </c>
      <c r="F162">
        <v>558</v>
      </c>
      <c r="G162">
        <v>1</v>
      </c>
      <c r="H162" s="2">
        <v>44637</v>
      </c>
      <c r="I162">
        <v>27</v>
      </c>
      <c r="J162" t="s">
        <v>13</v>
      </c>
      <c r="K162" t="s">
        <v>30</v>
      </c>
      <c r="L162">
        <f t="shared" si="4"/>
        <v>558</v>
      </c>
      <c r="M162" t="str">
        <f t="shared" si="5"/>
        <v>20-29</v>
      </c>
    </row>
    <row r="163" spans="1:13">
      <c r="A163" s="1">
        <v>162</v>
      </c>
      <c r="B163">
        <v>163</v>
      </c>
      <c r="C163">
        <v>9</v>
      </c>
      <c r="D163" t="s">
        <v>18</v>
      </c>
      <c r="E163" t="s">
        <v>23</v>
      </c>
      <c r="F163">
        <v>511</v>
      </c>
      <c r="G163">
        <v>1</v>
      </c>
      <c r="H163" s="2">
        <v>44570</v>
      </c>
      <c r="I163">
        <v>50</v>
      </c>
      <c r="J163" t="s">
        <v>16</v>
      </c>
      <c r="K163" t="s">
        <v>17</v>
      </c>
      <c r="L163">
        <f t="shared" si="4"/>
        <v>511</v>
      </c>
      <c r="M163" t="str">
        <f t="shared" si="5"/>
        <v>50-59</v>
      </c>
    </row>
    <row r="164" spans="1:13">
      <c r="A164" s="1">
        <v>163</v>
      </c>
      <c r="B164">
        <v>66</v>
      </c>
      <c r="C164">
        <v>45</v>
      </c>
      <c r="D164" t="s">
        <v>27</v>
      </c>
      <c r="E164" t="s">
        <v>12</v>
      </c>
      <c r="F164">
        <v>615</v>
      </c>
      <c r="G164">
        <v>4</v>
      </c>
      <c r="H164" s="2">
        <v>44635</v>
      </c>
      <c r="I164">
        <v>55</v>
      </c>
      <c r="J164" t="s">
        <v>13</v>
      </c>
      <c r="K164" t="s">
        <v>14</v>
      </c>
      <c r="L164">
        <f t="shared" si="4"/>
        <v>2460</v>
      </c>
      <c r="M164" t="str">
        <f t="shared" si="5"/>
        <v>50-59</v>
      </c>
    </row>
    <row r="165" spans="1:13">
      <c r="A165" s="1">
        <v>164</v>
      </c>
      <c r="B165">
        <v>91</v>
      </c>
      <c r="C165">
        <v>36</v>
      </c>
      <c r="D165" t="s">
        <v>26</v>
      </c>
      <c r="E165" t="s">
        <v>12</v>
      </c>
      <c r="F165">
        <v>526</v>
      </c>
      <c r="G165">
        <v>1</v>
      </c>
      <c r="H165" s="2">
        <v>44814</v>
      </c>
      <c r="I165">
        <v>30</v>
      </c>
      <c r="J165" t="s">
        <v>16</v>
      </c>
      <c r="K165" t="s">
        <v>17</v>
      </c>
      <c r="L165">
        <f t="shared" si="4"/>
        <v>526</v>
      </c>
      <c r="M165" t="str">
        <f t="shared" si="5"/>
        <v>30-39</v>
      </c>
    </row>
    <row r="166" spans="1:13">
      <c r="A166" s="1">
        <v>165</v>
      </c>
      <c r="B166">
        <v>130</v>
      </c>
      <c r="C166">
        <v>43</v>
      </c>
      <c r="D166" t="s">
        <v>25</v>
      </c>
      <c r="E166" t="s">
        <v>19</v>
      </c>
      <c r="F166">
        <v>774</v>
      </c>
      <c r="G166">
        <v>3</v>
      </c>
      <c r="H166" s="2">
        <v>44791</v>
      </c>
      <c r="I166">
        <v>48</v>
      </c>
      <c r="J166" t="s">
        <v>16</v>
      </c>
      <c r="K166" t="s">
        <v>17</v>
      </c>
      <c r="L166">
        <f t="shared" si="4"/>
        <v>2322</v>
      </c>
      <c r="M166" t="str">
        <f t="shared" si="5"/>
        <v>40-49</v>
      </c>
    </row>
    <row r="167" spans="1:13">
      <c r="A167" s="1">
        <v>166</v>
      </c>
      <c r="B167">
        <v>163</v>
      </c>
      <c r="C167">
        <v>20</v>
      </c>
      <c r="D167" t="s">
        <v>31</v>
      </c>
      <c r="E167" t="s">
        <v>12</v>
      </c>
      <c r="F167">
        <v>776</v>
      </c>
      <c r="G167">
        <v>1</v>
      </c>
      <c r="H167" s="2">
        <v>44568</v>
      </c>
      <c r="I167">
        <v>64</v>
      </c>
      <c r="J167" t="s">
        <v>16</v>
      </c>
      <c r="K167" t="s">
        <v>14</v>
      </c>
      <c r="L167">
        <f t="shared" si="4"/>
        <v>776</v>
      </c>
      <c r="M167" t="str">
        <f t="shared" si="5"/>
        <v>Above 60</v>
      </c>
    </row>
    <row r="168" spans="1:13">
      <c r="A168" s="1">
        <v>167</v>
      </c>
      <c r="B168">
        <v>20</v>
      </c>
      <c r="C168">
        <v>18</v>
      </c>
      <c r="D168" t="s">
        <v>28</v>
      </c>
      <c r="E168" t="s">
        <v>19</v>
      </c>
      <c r="F168">
        <v>752</v>
      </c>
      <c r="G168">
        <v>2</v>
      </c>
      <c r="H168" s="2">
        <v>44735</v>
      </c>
      <c r="I168">
        <v>53</v>
      </c>
      <c r="J168" t="s">
        <v>16</v>
      </c>
      <c r="K168" t="s">
        <v>22</v>
      </c>
      <c r="L168">
        <f t="shared" si="4"/>
        <v>1504</v>
      </c>
      <c r="M168" t="str">
        <f t="shared" si="5"/>
        <v>50-59</v>
      </c>
    </row>
    <row r="169" spans="1:13">
      <c r="A169" s="1">
        <v>168</v>
      </c>
      <c r="B169">
        <v>10</v>
      </c>
      <c r="C169">
        <v>43</v>
      </c>
      <c r="D169" t="s">
        <v>28</v>
      </c>
      <c r="E169" t="s">
        <v>19</v>
      </c>
      <c r="F169">
        <v>779</v>
      </c>
      <c r="G169">
        <v>2</v>
      </c>
      <c r="H169" s="2">
        <v>44702</v>
      </c>
      <c r="I169">
        <v>62</v>
      </c>
      <c r="J169" t="s">
        <v>13</v>
      </c>
      <c r="K169" t="s">
        <v>17</v>
      </c>
      <c r="L169">
        <f t="shared" si="4"/>
        <v>1558</v>
      </c>
      <c r="M169" t="str">
        <f t="shared" si="5"/>
        <v>Above 60</v>
      </c>
    </row>
    <row r="170" spans="1:13">
      <c r="A170" s="1">
        <v>169</v>
      </c>
      <c r="B170">
        <v>25</v>
      </c>
      <c r="C170">
        <v>21</v>
      </c>
      <c r="D170" t="s">
        <v>26</v>
      </c>
      <c r="E170" t="s">
        <v>12</v>
      </c>
      <c r="F170">
        <v>928</v>
      </c>
      <c r="G170">
        <v>4</v>
      </c>
      <c r="H170" s="2">
        <v>44729</v>
      </c>
      <c r="I170">
        <v>41</v>
      </c>
      <c r="J170" t="s">
        <v>13</v>
      </c>
      <c r="K170" t="s">
        <v>20</v>
      </c>
      <c r="L170">
        <f t="shared" si="4"/>
        <v>3712</v>
      </c>
      <c r="M170" t="str">
        <f t="shared" si="5"/>
        <v>40-49</v>
      </c>
    </row>
    <row r="171" spans="1:13">
      <c r="A171" s="1">
        <v>170</v>
      </c>
      <c r="B171">
        <v>194</v>
      </c>
      <c r="C171">
        <v>4</v>
      </c>
      <c r="D171" t="s">
        <v>18</v>
      </c>
      <c r="E171" t="s">
        <v>19</v>
      </c>
      <c r="F171">
        <v>511</v>
      </c>
      <c r="G171">
        <v>2</v>
      </c>
      <c r="H171" s="2">
        <v>44731</v>
      </c>
      <c r="I171">
        <v>32</v>
      </c>
      <c r="J171" t="s">
        <v>16</v>
      </c>
      <c r="K171" t="s">
        <v>20</v>
      </c>
      <c r="L171">
        <f t="shared" si="4"/>
        <v>1022</v>
      </c>
      <c r="M171" t="str">
        <f t="shared" si="5"/>
        <v>30-39</v>
      </c>
    </row>
    <row r="172" spans="1:13">
      <c r="A172" s="1">
        <v>171</v>
      </c>
      <c r="B172">
        <v>25</v>
      </c>
      <c r="C172">
        <v>50</v>
      </c>
      <c r="D172" t="s">
        <v>25</v>
      </c>
      <c r="E172" t="s">
        <v>23</v>
      </c>
      <c r="F172">
        <v>51</v>
      </c>
      <c r="G172">
        <v>3</v>
      </c>
      <c r="H172" s="2">
        <v>44844</v>
      </c>
      <c r="I172">
        <v>46</v>
      </c>
      <c r="J172" t="s">
        <v>13</v>
      </c>
      <c r="K172" t="s">
        <v>17</v>
      </c>
      <c r="L172">
        <f t="shared" si="4"/>
        <v>153</v>
      </c>
      <c r="M172" t="str">
        <f t="shared" si="5"/>
        <v>40-49</v>
      </c>
    </row>
    <row r="173" spans="1:13">
      <c r="A173" s="1">
        <v>172</v>
      </c>
      <c r="B173">
        <v>54</v>
      </c>
      <c r="C173">
        <v>33</v>
      </c>
      <c r="D173" t="s">
        <v>11</v>
      </c>
      <c r="E173" t="s">
        <v>23</v>
      </c>
      <c r="F173">
        <v>752</v>
      </c>
      <c r="G173">
        <v>1</v>
      </c>
      <c r="H173" s="2">
        <v>44683</v>
      </c>
      <c r="I173">
        <v>25</v>
      </c>
      <c r="J173" t="s">
        <v>16</v>
      </c>
      <c r="K173" t="s">
        <v>22</v>
      </c>
      <c r="L173">
        <f t="shared" si="4"/>
        <v>752</v>
      </c>
      <c r="M173" t="str">
        <f t="shared" si="5"/>
        <v>20-29</v>
      </c>
    </row>
    <row r="174" spans="1:13">
      <c r="A174" s="1">
        <v>173</v>
      </c>
      <c r="B174">
        <v>33</v>
      </c>
      <c r="C174">
        <v>27</v>
      </c>
      <c r="D174" t="s">
        <v>18</v>
      </c>
      <c r="E174" t="s">
        <v>19</v>
      </c>
      <c r="F174">
        <v>751</v>
      </c>
      <c r="G174">
        <v>4</v>
      </c>
      <c r="H174" s="2">
        <v>44755</v>
      </c>
      <c r="I174">
        <v>22</v>
      </c>
      <c r="J174" t="s">
        <v>13</v>
      </c>
      <c r="K174" t="s">
        <v>30</v>
      </c>
      <c r="L174">
        <f t="shared" si="4"/>
        <v>3004</v>
      </c>
      <c r="M174" t="str">
        <f t="shared" si="5"/>
        <v>20-29</v>
      </c>
    </row>
    <row r="175" spans="1:13">
      <c r="A175" s="1">
        <v>174</v>
      </c>
      <c r="B175">
        <v>164</v>
      </c>
      <c r="C175">
        <v>7</v>
      </c>
      <c r="D175" t="s">
        <v>21</v>
      </c>
      <c r="E175" t="s">
        <v>23</v>
      </c>
      <c r="F175">
        <v>51</v>
      </c>
      <c r="G175">
        <v>1</v>
      </c>
      <c r="H175" s="2">
        <v>44566</v>
      </c>
      <c r="I175">
        <v>46</v>
      </c>
      <c r="J175" t="s">
        <v>13</v>
      </c>
      <c r="K175" t="s">
        <v>14</v>
      </c>
      <c r="L175">
        <f t="shared" si="4"/>
        <v>51</v>
      </c>
      <c r="M175" t="str">
        <f t="shared" si="5"/>
        <v>40-49</v>
      </c>
    </row>
    <row r="176" spans="1:13">
      <c r="A176" s="1">
        <v>175</v>
      </c>
      <c r="B176">
        <v>95</v>
      </c>
      <c r="C176">
        <v>6</v>
      </c>
      <c r="D176" t="s">
        <v>28</v>
      </c>
      <c r="E176" t="s">
        <v>19</v>
      </c>
      <c r="F176">
        <v>769</v>
      </c>
      <c r="G176">
        <v>1</v>
      </c>
      <c r="H176" s="2">
        <v>44590</v>
      </c>
      <c r="I176">
        <v>64</v>
      </c>
      <c r="J176" t="s">
        <v>16</v>
      </c>
      <c r="K176" t="s">
        <v>20</v>
      </c>
      <c r="L176">
        <f t="shared" si="4"/>
        <v>769</v>
      </c>
      <c r="M176" t="str">
        <f t="shared" si="5"/>
        <v>Above 60</v>
      </c>
    </row>
    <row r="177" spans="1:13">
      <c r="A177" s="1">
        <v>176</v>
      </c>
      <c r="B177">
        <v>14</v>
      </c>
      <c r="C177">
        <v>15</v>
      </c>
      <c r="D177" t="s">
        <v>21</v>
      </c>
      <c r="E177" t="s">
        <v>19</v>
      </c>
      <c r="F177">
        <v>437</v>
      </c>
      <c r="G177">
        <v>3</v>
      </c>
      <c r="H177" s="2">
        <v>44726</v>
      </c>
      <c r="I177">
        <v>21</v>
      </c>
      <c r="J177" t="s">
        <v>13</v>
      </c>
      <c r="K177" t="s">
        <v>30</v>
      </c>
      <c r="L177">
        <f t="shared" si="4"/>
        <v>1311</v>
      </c>
      <c r="M177" t="str">
        <f t="shared" si="5"/>
        <v>20-29</v>
      </c>
    </row>
    <row r="178" spans="1:13">
      <c r="A178" s="1">
        <v>177</v>
      </c>
      <c r="B178">
        <v>65</v>
      </c>
      <c r="C178">
        <v>18</v>
      </c>
      <c r="D178" t="s">
        <v>15</v>
      </c>
      <c r="E178" t="s">
        <v>12</v>
      </c>
      <c r="F178">
        <v>51</v>
      </c>
      <c r="G178">
        <v>2</v>
      </c>
      <c r="H178" s="2">
        <v>44900</v>
      </c>
      <c r="I178">
        <v>29</v>
      </c>
      <c r="J178" t="s">
        <v>16</v>
      </c>
      <c r="K178" t="s">
        <v>17</v>
      </c>
      <c r="L178">
        <f t="shared" si="4"/>
        <v>102</v>
      </c>
      <c r="M178" t="str">
        <f t="shared" si="5"/>
        <v>20-29</v>
      </c>
    </row>
    <row r="179" spans="1:13">
      <c r="A179" s="1">
        <v>178</v>
      </c>
      <c r="B179">
        <v>110</v>
      </c>
      <c r="C179">
        <v>32</v>
      </c>
      <c r="D179" t="s">
        <v>29</v>
      </c>
      <c r="E179" t="s">
        <v>12</v>
      </c>
      <c r="F179">
        <v>865</v>
      </c>
      <c r="G179">
        <v>2</v>
      </c>
      <c r="H179" s="2">
        <v>44697</v>
      </c>
      <c r="I179">
        <v>62</v>
      </c>
      <c r="J179" t="s">
        <v>13</v>
      </c>
      <c r="K179" t="s">
        <v>30</v>
      </c>
      <c r="L179">
        <f t="shared" si="4"/>
        <v>1730</v>
      </c>
      <c r="M179" t="str">
        <f t="shared" si="5"/>
        <v>Above 60</v>
      </c>
    </row>
    <row r="180" spans="1:13">
      <c r="A180" s="1">
        <v>179</v>
      </c>
      <c r="B180">
        <v>80</v>
      </c>
      <c r="C180">
        <v>11</v>
      </c>
      <c r="D180" t="s">
        <v>27</v>
      </c>
      <c r="E180" t="s">
        <v>23</v>
      </c>
      <c r="F180">
        <v>928</v>
      </c>
      <c r="G180">
        <v>1</v>
      </c>
      <c r="H180" s="2">
        <v>44926</v>
      </c>
      <c r="I180">
        <v>19</v>
      </c>
      <c r="J180" t="s">
        <v>16</v>
      </c>
      <c r="K180" t="s">
        <v>24</v>
      </c>
      <c r="L180">
        <f t="shared" si="4"/>
        <v>928</v>
      </c>
      <c r="M180" t="str">
        <f t="shared" si="5"/>
        <v>Under 20</v>
      </c>
    </row>
    <row r="181" spans="1:13">
      <c r="A181" s="1">
        <v>180</v>
      </c>
      <c r="B181">
        <v>54</v>
      </c>
      <c r="C181">
        <v>20</v>
      </c>
      <c r="D181" t="s">
        <v>25</v>
      </c>
      <c r="E181" t="s">
        <v>12</v>
      </c>
      <c r="F181">
        <v>395</v>
      </c>
      <c r="G181">
        <v>4</v>
      </c>
      <c r="H181" s="2">
        <v>44882</v>
      </c>
      <c r="I181">
        <v>44</v>
      </c>
      <c r="J181" t="s">
        <v>16</v>
      </c>
      <c r="K181" t="s">
        <v>20</v>
      </c>
      <c r="L181">
        <f t="shared" si="4"/>
        <v>1580</v>
      </c>
      <c r="M181" t="str">
        <f t="shared" si="5"/>
        <v>40-49</v>
      </c>
    </row>
    <row r="182" spans="1:13">
      <c r="A182" s="1">
        <v>181</v>
      </c>
      <c r="B182">
        <v>125</v>
      </c>
      <c r="C182">
        <v>24</v>
      </c>
      <c r="D182" t="s">
        <v>18</v>
      </c>
      <c r="E182" t="s">
        <v>12</v>
      </c>
      <c r="F182">
        <v>605</v>
      </c>
      <c r="G182">
        <v>2</v>
      </c>
      <c r="H182" s="2">
        <v>44903</v>
      </c>
      <c r="I182">
        <v>48</v>
      </c>
      <c r="J182" t="s">
        <v>13</v>
      </c>
      <c r="K182" t="s">
        <v>17</v>
      </c>
      <c r="L182">
        <f t="shared" si="4"/>
        <v>1210</v>
      </c>
      <c r="M182" t="str">
        <f t="shared" si="5"/>
        <v>40-49</v>
      </c>
    </row>
    <row r="183" spans="1:13">
      <c r="A183" s="1">
        <v>182</v>
      </c>
      <c r="B183">
        <v>180</v>
      </c>
      <c r="C183">
        <v>15</v>
      </c>
      <c r="D183" t="s">
        <v>28</v>
      </c>
      <c r="E183" t="s">
        <v>19</v>
      </c>
      <c r="F183">
        <v>912</v>
      </c>
      <c r="G183">
        <v>4</v>
      </c>
      <c r="H183" s="2">
        <v>44706</v>
      </c>
      <c r="I183">
        <v>53</v>
      </c>
      <c r="J183" t="s">
        <v>13</v>
      </c>
      <c r="K183" t="s">
        <v>14</v>
      </c>
      <c r="L183">
        <f t="shared" si="4"/>
        <v>3648</v>
      </c>
      <c r="M183" t="str">
        <f t="shared" si="5"/>
        <v>50-59</v>
      </c>
    </row>
    <row r="184" spans="1:13">
      <c r="A184" s="1">
        <v>183</v>
      </c>
      <c r="B184">
        <v>131</v>
      </c>
      <c r="C184">
        <v>48</v>
      </c>
      <c r="D184" t="s">
        <v>21</v>
      </c>
      <c r="E184" t="s">
        <v>19</v>
      </c>
      <c r="F184">
        <v>615</v>
      </c>
      <c r="G184">
        <v>2</v>
      </c>
      <c r="H184" s="2">
        <v>44888</v>
      </c>
      <c r="I184">
        <v>53</v>
      </c>
      <c r="J184" t="s">
        <v>16</v>
      </c>
      <c r="K184" t="s">
        <v>22</v>
      </c>
      <c r="L184">
        <f t="shared" si="4"/>
        <v>1230</v>
      </c>
      <c r="M184" t="str">
        <f t="shared" si="5"/>
        <v>50-59</v>
      </c>
    </row>
    <row r="185" spans="1:13">
      <c r="A185" s="1">
        <v>184</v>
      </c>
      <c r="B185">
        <v>169</v>
      </c>
      <c r="C185">
        <v>7</v>
      </c>
      <c r="D185" t="s">
        <v>31</v>
      </c>
      <c r="E185" t="s">
        <v>12</v>
      </c>
      <c r="F185">
        <v>614</v>
      </c>
      <c r="G185">
        <v>4</v>
      </c>
      <c r="H185" s="2">
        <v>44778</v>
      </c>
      <c r="I185">
        <v>43</v>
      </c>
      <c r="J185" t="s">
        <v>13</v>
      </c>
      <c r="K185" t="s">
        <v>17</v>
      </c>
      <c r="L185">
        <f t="shared" si="4"/>
        <v>2456</v>
      </c>
      <c r="M185" t="str">
        <f t="shared" si="5"/>
        <v>40-49</v>
      </c>
    </row>
    <row r="186" spans="1:13">
      <c r="A186" s="1">
        <v>185</v>
      </c>
      <c r="B186">
        <v>134</v>
      </c>
      <c r="C186">
        <v>21</v>
      </c>
      <c r="D186" t="s">
        <v>15</v>
      </c>
      <c r="E186" t="s">
        <v>12</v>
      </c>
      <c r="F186">
        <v>141</v>
      </c>
      <c r="G186">
        <v>3</v>
      </c>
      <c r="H186" s="2">
        <v>44862</v>
      </c>
      <c r="I186">
        <v>60</v>
      </c>
      <c r="J186" t="s">
        <v>13</v>
      </c>
      <c r="K186" t="s">
        <v>14</v>
      </c>
      <c r="L186">
        <f t="shared" si="4"/>
        <v>423</v>
      </c>
      <c r="M186" t="str">
        <f t="shared" si="5"/>
        <v>Above 60</v>
      </c>
    </row>
    <row r="187" spans="1:13">
      <c r="A187" s="1">
        <v>186</v>
      </c>
      <c r="B187">
        <v>25</v>
      </c>
      <c r="C187">
        <v>42</v>
      </c>
      <c r="D187" t="s">
        <v>27</v>
      </c>
      <c r="E187" t="s">
        <v>19</v>
      </c>
      <c r="F187">
        <v>130</v>
      </c>
      <c r="G187">
        <v>4</v>
      </c>
      <c r="H187" s="2">
        <v>44693</v>
      </c>
      <c r="I187">
        <v>44</v>
      </c>
      <c r="J187" t="s">
        <v>16</v>
      </c>
      <c r="K187" t="s">
        <v>22</v>
      </c>
      <c r="L187">
        <f t="shared" si="4"/>
        <v>520</v>
      </c>
      <c r="M187" t="str">
        <f t="shared" si="5"/>
        <v>40-49</v>
      </c>
    </row>
    <row r="188" spans="1:13">
      <c r="A188" s="1">
        <v>187</v>
      </c>
      <c r="B188">
        <v>141</v>
      </c>
      <c r="C188">
        <v>26</v>
      </c>
      <c r="D188" t="s">
        <v>27</v>
      </c>
      <c r="E188" t="s">
        <v>12</v>
      </c>
      <c r="F188">
        <v>752</v>
      </c>
      <c r="G188">
        <v>3</v>
      </c>
      <c r="H188" s="2">
        <v>44853</v>
      </c>
      <c r="I188">
        <v>22</v>
      </c>
      <c r="J188" t="s">
        <v>16</v>
      </c>
      <c r="K188" t="s">
        <v>22</v>
      </c>
      <c r="L188">
        <f t="shared" si="4"/>
        <v>2256</v>
      </c>
      <c r="M188" t="str">
        <f t="shared" si="5"/>
        <v>20-29</v>
      </c>
    </row>
    <row r="189" spans="1:13">
      <c r="A189" s="1">
        <v>188</v>
      </c>
      <c r="B189">
        <v>117</v>
      </c>
      <c r="C189">
        <v>44</v>
      </c>
      <c r="D189" t="s">
        <v>18</v>
      </c>
      <c r="E189" t="s">
        <v>23</v>
      </c>
      <c r="F189">
        <v>558</v>
      </c>
      <c r="G189">
        <v>3</v>
      </c>
      <c r="H189" s="2">
        <v>44631</v>
      </c>
      <c r="I189">
        <v>37</v>
      </c>
      <c r="J189" t="s">
        <v>13</v>
      </c>
      <c r="K189" t="s">
        <v>17</v>
      </c>
      <c r="L189">
        <f t="shared" si="4"/>
        <v>1674</v>
      </c>
      <c r="M189" t="str">
        <f t="shared" si="5"/>
        <v>30-39</v>
      </c>
    </row>
    <row r="190" spans="1:13">
      <c r="A190" s="1">
        <v>189</v>
      </c>
      <c r="B190">
        <v>136</v>
      </c>
      <c r="C190">
        <v>14</v>
      </c>
      <c r="D190" t="s">
        <v>25</v>
      </c>
      <c r="E190" t="s">
        <v>19</v>
      </c>
      <c r="F190">
        <v>477</v>
      </c>
      <c r="G190">
        <v>4</v>
      </c>
      <c r="H190" s="2">
        <v>44813</v>
      </c>
      <c r="I190">
        <v>28</v>
      </c>
      <c r="J190" t="s">
        <v>16</v>
      </c>
      <c r="K190" t="s">
        <v>30</v>
      </c>
      <c r="L190">
        <f t="shared" si="4"/>
        <v>1908</v>
      </c>
      <c r="M190" t="str">
        <f t="shared" si="5"/>
        <v>20-29</v>
      </c>
    </row>
    <row r="191" spans="1:13">
      <c r="A191" s="1">
        <v>190</v>
      </c>
      <c r="B191">
        <v>149</v>
      </c>
      <c r="C191">
        <v>37</v>
      </c>
      <c r="D191" t="s">
        <v>11</v>
      </c>
      <c r="E191" t="s">
        <v>12</v>
      </c>
      <c r="F191">
        <v>319</v>
      </c>
      <c r="G191">
        <v>3</v>
      </c>
      <c r="H191" s="2">
        <v>44836</v>
      </c>
      <c r="I191">
        <v>27</v>
      </c>
      <c r="J191" t="s">
        <v>16</v>
      </c>
      <c r="K191" t="s">
        <v>30</v>
      </c>
      <c r="L191">
        <f t="shared" si="4"/>
        <v>957</v>
      </c>
      <c r="M191" t="str">
        <f t="shared" si="5"/>
        <v>20-29</v>
      </c>
    </row>
    <row r="192" spans="1:13">
      <c r="A192" s="1">
        <v>191</v>
      </c>
      <c r="B192">
        <v>196</v>
      </c>
      <c r="C192">
        <v>21</v>
      </c>
      <c r="D192" t="s">
        <v>31</v>
      </c>
      <c r="E192" t="s">
        <v>23</v>
      </c>
      <c r="F192">
        <v>251</v>
      </c>
      <c r="G192">
        <v>1</v>
      </c>
      <c r="H192" s="2">
        <v>44925</v>
      </c>
      <c r="I192">
        <v>57</v>
      </c>
      <c r="J192" t="s">
        <v>16</v>
      </c>
      <c r="K192" t="s">
        <v>22</v>
      </c>
      <c r="L192">
        <f t="shared" si="4"/>
        <v>251</v>
      </c>
      <c r="M192" t="str">
        <f t="shared" si="5"/>
        <v>50-59</v>
      </c>
    </row>
    <row r="193" spans="1:13">
      <c r="A193" s="1">
        <v>192</v>
      </c>
      <c r="B193">
        <v>25</v>
      </c>
      <c r="C193">
        <v>18</v>
      </c>
      <c r="D193" t="s">
        <v>18</v>
      </c>
      <c r="E193" t="s">
        <v>19</v>
      </c>
      <c r="F193">
        <v>102</v>
      </c>
      <c r="G193">
        <v>3</v>
      </c>
      <c r="H193" s="2">
        <v>44743</v>
      </c>
      <c r="I193">
        <v>55</v>
      </c>
      <c r="J193" t="s">
        <v>13</v>
      </c>
      <c r="K193" t="s">
        <v>30</v>
      </c>
      <c r="L193">
        <f t="shared" si="4"/>
        <v>306</v>
      </c>
      <c r="M193" t="str">
        <f t="shared" si="5"/>
        <v>50-59</v>
      </c>
    </row>
    <row r="194" spans="1:13">
      <c r="A194" s="1">
        <v>193</v>
      </c>
      <c r="B194">
        <v>79</v>
      </c>
      <c r="C194">
        <v>5</v>
      </c>
      <c r="D194" t="s">
        <v>21</v>
      </c>
      <c r="E194" t="s">
        <v>19</v>
      </c>
      <c r="F194">
        <v>141</v>
      </c>
      <c r="G194">
        <v>2</v>
      </c>
      <c r="H194" s="2">
        <v>44728</v>
      </c>
      <c r="I194">
        <v>23</v>
      </c>
      <c r="J194" t="s">
        <v>13</v>
      </c>
      <c r="K194" t="s">
        <v>24</v>
      </c>
      <c r="L194">
        <f t="shared" si="4"/>
        <v>282</v>
      </c>
      <c r="M194" t="str">
        <f t="shared" si="5"/>
        <v>20-29</v>
      </c>
    </row>
    <row r="195" spans="1:13">
      <c r="A195" s="1">
        <v>194</v>
      </c>
      <c r="B195">
        <v>68</v>
      </c>
      <c r="C195">
        <v>3</v>
      </c>
      <c r="D195" t="s">
        <v>29</v>
      </c>
      <c r="E195" t="s">
        <v>23</v>
      </c>
      <c r="F195">
        <v>751</v>
      </c>
      <c r="G195">
        <v>4</v>
      </c>
      <c r="H195" s="2">
        <v>44652</v>
      </c>
      <c r="I195">
        <v>25</v>
      </c>
      <c r="J195" t="s">
        <v>16</v>
      </c>
      <c r="K195" t="s">
        <v>22</v>
      </c>
      <c r="L195">
        <f t="shared" ref="L195:L258" si="6">F195*G195</f>
        <v>3004</v>
      </c>
      <c r="M195" t="str">
        <f t="shared" ref="M195:M258" si="7">IF(I195&lt;20,"Under 20",IF(I195&lt;30,"20-29",IF(I195&lt;40,"30-39",IF(I195&lt;50,"40-49",IF(I195&lt;60,"50-59","Above 60")))))</f>
        <v>20-29</v>
      </c>
    </row>
    <row r="196" spans="1:13">
      <c r="A196" s="1">
        <v>195</v>
      </c>
      <c r="B196">
        <v>173</v>
      </c>
      <c r="C196">
        <v>23</v>
      </c>
      <c r="D196" t="s">
        <v>26</v>
      </c>
      <c r="E196" t="s">
        <v>23</v>
      </c>
      <c r="F196">
        <v>320</v>
      </c>
      <c r="G196">
        <v>1</v>
      </c>
      <c r="H196" s="2">
        <v>44763</v>
      </c>
      <c r="I196">
        <v>40</v>
      </c>
      <c r="J196" t="s">
        <v>13</v>
      </c>
      <c r="K196" t="s">
        <v>22</v>
      </c>
      <c r="L196">
        <f t="shared" si="6"/>
        <v>320</v>
      </c>
      <c r="M196" t="str">
        <f t="shared" si="7"/>
        <v>40-49</v>
      </c>
    </row>
    <row r="197" spans="1:13">
      <c r="A197" s="1">
        <v>196</v>
      </c>
      <c r="B197">
        <v>188</v>
      </c>
      <c r="C197">
        <v>26</v>
      </c>
      <c r="D197" t="s">
        <v>11</v>
      </c>
      <c r="E197" t="s">
        <v>19</v>
      </c>
      <c r="F197">
        <v>395</v>
      </c>
      <c r="G197">
        <v>4</v>
      </c>
      <c r="H197" s="2">
        <v>44907</v>
      </c>
      <c r="I197">
        <v>64</v>
      </c>
      <c r="J197" t="s">
        <v>16</v>
      </c>
      <c r="K197" t="s">
        <v>14</v>
      </c>
      <c r="L197">
        <f t="shared" si="6"/>
        <v>1580</v>
      </c>
      <c r="M197" t="str">
        <f t="shared" si="7"/>
        <v>Above 60</v>
      </c>
    </row>
    <row r="198" spans="1:13">
      <c r="A198" s="1">
        <v>197</v>
      </c>
      <c r="B198">
        <v>12</v>
      </c>
      <c r="C198">
        <v>37</v>
      </c>
      <c r="D198" t="s">
        <v>25</v>
      </c>
      <c r="E198" t="s">
        <v>19</v>
      </c>
      <c r="F198">
        <v>779</v>
      </c>
      <c r="G198">
        <v>2</v>
      </c>
      <c r="H198" s="2">
        <v>44580</v>
      </c>
      <c r="I198">
        <v>43</v>
      </c>
      <c r="J198" t="s">
        <v>13</v>
      </c>
      <c r="K198" t="s">
        <v>30</v>
      </c>
      <c r="L198">
        <f t="shared" si="6"/>
        <v>1558</v>
      </c>
      <c r="M198" t="str">
        <f t="shared" si="7"/>
        <v>40-49</v>
      </c>
    </row>
    <row r="199" spans="1:13">
      <c r="A199" s="1">
        <v>198</v>
      </c>
      <c r="B199">
        <v>32</v>
      </c>
      <c r="C199">
        <v>24</v>
      </c>
      <c r="D199" t="s">
        <v>15</v>
      </c>
      <c r="E199" t="s">
        <v>19</v>
      </c>
      <c r="F199">
        <v>947</v>
      </c>
      <c r="G199">
        <v>2</v>
      </c>
      <c r="H199" s="2">
        <v>44600</v>
      </c>
      <c r="I199">
        <v>63</v>
      </c>
      <c r="J199" t="s">
        <v>16</v>
      </c>
      <c r="K199" t="s">
        <v>22</v>
      </c>
      <c r="L199">
        <f t="shared" si="6"/>
        <v>1894</v>
      </c>
      <c r="M199" t="str">
        <f t="shared" si="7"/>
        <v>Above 60</v>
      </c>
    </row>
    <row r="200" spans="1:13">
      <c r="A200" s="1">
        <v>199</v>
      </c>
      <c r="B200">
        <v>128</v>
      </c>
      <c r="C200">
        <v>49</v>
      </c>
      <c r="D200" t="s">
        <v>11</v>
      </c>
      <c r="E200" t="s">
        <v>19</v>
      </c>
      <c r="F200">
        <v>826</v>
      </c>
      <c r="G200">
        <v>2</v>
      </c>
      <c r="H200" s="2">
        <v>44687</v>
      </c>
      <c r="I200">
        <v>60</v>
      </c>
      <c r="J200" t="s">
        <v>16</v>
      </c>
      <c r="K200" t="s">
        <v>24</v>
      </c>
      <c r="L200">
        <f t="shared" si="6"/>
        <v>1652</v>
      </c>
      <c r="M200" t="str">
        <f t="shared" si="7"/>
        <v>Above 60</v>
      </c>
    </row>
    <row r="201" spans="1:13">
      <c r="A201" s="1">
        <v>200</v>
      </c>
      <c r="B201">
        <v>96</v>
      </c>
      <c r="C201">
        <v>19</v>
      </c>
      <c r="D201" t="s">
        <v>28</v>
      </c>
      <c r="E201" t="s">
        <v>23</v>
      </c>
      <c r="F201">
        <v>437</v>
      </c>
      <c r="G201">
        <v>3</v>
      </c>
      <c r="H201" s="2">
        <v>44734</v>
      </c>
      <c r="I201">
        <v>29</v>
      </c>
      <c r="J201" t="s">
        <v>13</v>
      </c>
      <c r="K201" t="s">
        <v>14</v>
      </c>
      <c r="L201">
        <f t="shared" si="6"/>
        <v>1311</v>
      </c>
      <c r="M201" t="str">
        <f t="shared" si="7"/>
        <v>20-29</v>
      </c>
    </row>
    <row r="202" spans="1:13">
      <c r="A202" s="1">
        <v>201</v>
      </c>
      <c r="B202">
        <v>92</v>
      </c>
      <c r="C202">
        <v>25</v>
      </c>
      <c r="D202" t="s">
        <v>25</v>
      </c>
      <c r="E202" t="s">
        <v>23</v>
      </c>
      <c r="F202">
        <v>526</v>
      </c>
      <c r="G202">
        <v>3</v>
      </c>
      <c r="H202" s="2">
        <v>44702</v>
      </c>
      <c r="I202">
        <v>43</v>
      </c>
      <c r="J202" t="s">
        <v>16</v>
      </c>
      <c r="K202" t="s">
        <v>17</v>
      </c>
      <c r="L202">
        <f t="shared" si="6"/>
        <v>1578</v>
      </c>
      <c r="M202" t="str">
        <f t="shared" si="7"/>
        <v>40-49</v>
      </c>
    </row>
    <row r="203" spans="1:13">
      <c r="A203" s="1">
        <v>202</v>
      </c>
      <c r="B203">
        <v>141</v>
      </c>
      <c r="C203">
        <v>21</v>
      </c>
      <c r="D203" t="s">
        <v>29</v>
      </c>
      <c r="E203" t="s">
        <v>19</v>
      </c>
      <c r="F203">
        <v>871</v>
      </c>
      <c r="G203">
        <v>4</v>
      </c>
      <c r="H203" s="2">
        <v>44803</v>
      </c>
      <c r="I203">
        <v>30</v>
      </c>
      <c r="J203" t="s">
        <v>13</v>
      </c>
      <c r="K203" t="s">
        <v>22</v>
      </c>
      <c r="L203">
        <f t="shared" si="6"/>
        <v>3484</v>
      </c>
      <c r="M203" t="str">
        <f t="shared" si="7"/>
        <v>30-39</v>
      </c>
    </row>
    <row r="204" spans="1:13">
      <c r="A204" s="1">
        <v>203</v>
      </c>
      <c r="B204">
        <v>31</v>
      </c>
      <c r="C204">
        <v>12</v>
      </c>
      <c r="D204" t="s">
        <v>28</v>
      </c>
      <c r="E204" t="s">
        <v>23</v>
      </c>
      <c r="F204">
        <v>558</v>
      </c>
      <c r="G204">
        <v>4</v>
      </c>
      <c r="H204" s="2">
        <v>44781</v>
      </c>
      <c r="I204">
        <v>57</v>
      </c>
      <c r="J204" t="s">
        <v>13</v>
      </c>
      <c r="K204" t="s">
        <v>24</v>
      </c>
      <c r="L204">
        <f t="shared" si="6"/>
        <v>2232</v>
      </c>
      <c r="M204" t="str">
        <f t="shared" si="7"/>
        <v>50-59</v>
      </c>
    </row>
    <row r="205" spans="1:13">
      <c r="A205" s="1">
        <v>204</v>
      </c>
      <c r="B205">
        <v>78</v>
      </c>
      <c r="C205">
        <v>41</v>
      </c>
      <c r="D205" t="s">
        <v>11</v>
      </c>
      <c r="E205" t="s">
        <v>23</v>
      </c>
      <c r="F205">
        <v>130</v>
      </c>
      <c r="G205">
        <v>1</v>
      </c>
      <c r="H205" s="2">
        <v>44687</v>
      </c>
      <c r="I205">
        <v>35</v>
      </c>
      <c r="J205" t="s">
        <v>16</v>
      </c>
      <c r="K205" t="s">
        <v>20</v>
      </c>
      <c r="L205">
        <f t="shared" si="6"/>
        <v>130</v>
      </c>
      <c r="M205" t="str">
        <f t="shared" si="7"/>
        <v>30-39</v>
      </c>
    </row>
    <row r="206" spans="1:13">
      <c r="A206" s="1">
        <v>205</v>
      </c>
      <c r="B206">
        <v>20</v>
      </c>
      <c r="C206">
        <v>33</v>
      </c>
      <c r="D206" t="s">
        <v>26</v>
      </c>
      <c r="E206" t="s">
        <v>23</v>
      </c>
      <c r="F206">
        <v>615</v>
      </c>
      <c r="G206">
        <v>1</v>
      </c>
      <c r="H206" s="2">
        <v>44619</v>
      </c>
      <c r="I206">
        <v>42</v>
      </c>
      <c r="J206" t="s">
        <v>16</v>
      </c>
      <c r="K206" t="s">
        <v>24</v>
      </c>
      <c r="L206">
        <f t="shared" si="6"/>
        <v>615</v>
      </c>
      <c r="M206" t="str">
        <f t="shared" si="7"/>
        <v>40-49</v>
      </c>
    </row>
    <row r="207" spans="1:13">
      <c r="A207" s="1">
        <v>206</v>
      </c>
      <c r="B207">
        <v>146</v>
      </c>
      <c r="C207">
        <v>50</v>
      </c>
      <c r="D207" t="s">
        <v>26</v>
      </c>
      <c r="E207" t="s">
        <v>12</v>
      </c>
      <c r="F207">
        <v>102</v>
      </c>
      <c r="G207">
        <v>4</v>
      </c>
      <c r="H207" s="2">
        <v>44709</v>
      </c>
      <c r="I207">
        <v>50</v>
      </c>
      <c r="J207" t="s">
        <v>13</v>
      </c>
      <c r="K207" t="s">
        <v>24</v>
      </c>
      <c r="L207">
        <f t="shared" si="6"/>
        <v>408</v>
      </c>
      <c r="M207" t="str">
        <f t="shared" si="7"/>
        <v>50-59</v>
      </c>
    </row>
    <row r="208" spans="1:13">
      <c r="A208" s="1">
        <v>207</v>
      </c>
      <c r="B208">
        <v>60</v>
      </c>
      <c r="C208">
        <v>4</v>
      </c>
      <c r="D208" t="s">
        <v>29</v>
      </c>
      <c r="E208" t="s">
        <v>19</v>
      </c>
      <c r="F208">
        <v>439</v>
      </c>
      <c r="G208">
        <v>3</v>
      </c>
      <c r="H208" s="2">
        <v>44878</v>
      </c>
      <c r="I208">
        <v>64</v>
      </c>
      <c r="J208" t="s">
        <v>16</v>
      </c>
      <c r="K208" t="s">
        <v>14</v>
      </c>
      <c r="L208">
        <f t="shared" si="6"/>
        <v>1317</v>
      </c>
      <c r="M208" t="str">
        <f t="shared" si="7"/>
        <v>Above 60</v>
      </c>
    </row>
    <row r="209" spans="1:13">
      <c r="A209" s="1">
        <v>208</v>
      </c>
      <c r="B209">
        <v>191</v>
      </c>
      <c r="C209">
        <v>42</v>
      </c>
      <c r="D209" t="s">
        <v>27</v>
      </c>
      <c r="E209" t="s">
        <v>23</v>
      </c>
      <c r="F209">
        <v>615</v>
      </c>
      <c r="G209">
        <v>2</v>
      </c>
      <c r="H209" s="2">
        <v>44922</v>
      </c>
      <c r="I209">
        <v>57</v>
      </c>
      <c r="J209" t="s">
        <v>16</v>
      </c>
      <c r="K209" t="s">
        <v>17</v>
      </c>
      <c r="L209">
        <f t="shared" si="6"/>
        <v>1230</v>
      </c>
      <c r="M209" t="str">
        <f t="shared" si="7"/>
        <v>50-59</v>
      </c>
    </row>
    <row r="210" spans="1:13">
      <c r="A210" s="1">
        <v>209</v>
      </c>
      <c r="B210">
        <v>134</v>
      </c>
      <c r="C210">
        <v>7</v>
      </c>
      <c r="D210" t="s">
        <v>31</v>
      </c>
      <c r="E210" t="s">
        <v>12</v>
      </c>
      <c r="F210">
        <v>320</v>
      </c>
      <c r="G210">
        <v>4</v>
      </c>
      <c r="H210" s="2">
        <v>44562</v>
      </c>
      <c r="I210">
        <v>60</v>
      </c>
      <c r="J210" t="s">
        <v>16</v>
      </c>
      <c r="K210" t="s">
        <v>20</v>
      </c>
      <c r="L210">
        <f t="shared" si="6"/>
        <v>1280</v>
      </c>
      <c r="M210" t="str">
        <f t="shared" si="7"/>
        <v>Above 60</v>
      </c>
    </row>
    <row r="211" spans="1:13">
      <c r="A211" s="1">
        <v>210</v>
      </c>
      <c r="B211">
        <v>160</v>
      </c>
      <c r="C211">
        <v>22</v>
      </c>
      <c r="D211" t="s">
        <v>15</v>
      </c>
      <c r="E211" t="s">
        <v>23</v>
      </c>
      <c r="F211">
        <v>912</v>
      </c>
      <c r="G211">
        <v>1</v>
      </c>
      <c r="H211" s="2">
        <v>44909</v>
      </c>
      <c r="I211">
        <v>29</v>
      </c>
      <c r="J211" t="s">
        <v>16</v>
      </c>
      <c r="K211" t="s">
        <v>30</v>
      </c>
      <c r="L211">
        <f t="shared" si="6"/>
        <v>912</v>
      </c>
      <c r="M211" t="str">
        <f t="shared" si="7"/>
        <v>20-29</v>
      </c>
    </row>
    <row r="212" spans="1:13">
      <c r="A212" s="1">
        <v>211</v>
      </c>
      <c r="B212">
        <v>93</v>
      </c>
      <c r="C212">
        <v>33</v>
      </c>
      <c r="D212" t="s">
        <v>27</v>
      </c>
      <c r="E212" t="s">
        <v>23</v>
      </c>
      <c r="F212">
        <v>605</v>
      </c>
      <c r="G212">
        <v>3</v>
      </c>
      <c r="H212" s="2">
        <v>44751</v>
      </c>
      <c r="I212">
        <v>61</v>
      </c>
      <c r="J212" t="s">
        <v>16</v>
      </c>
      <c r="K212" t="s">
        <v>30</v>
      </c>
      <c r="L212">
        <f t="shared" si="6"/>
        <v>1815</v>
      </c>
      <c r="M212" t="str">
        <f t="shared" si="7"/>
        <v>Above 60</v>
      </c>
    </row>
    <row r="213" spans="1:13">
      <c r="A213" s="1">
        <v>212</v>
      </c>
      <c r="B213">
        <v>43</v>
      </c>
      <c r="C213">
        <v>17</v>
      </c>
      <c r="D213" t="s">
        <v>26</v>
      </c>
      <c r="E213" t="s">
        <v>12</v>
      </c>
      <c r="F213">
        <v>871</v>
      </c>
      <c r="G213">
        <v>4</v>
      </c>
      <c r="H213" s="2">
        <v>44752</v>
      </c>
      <c r="I213">
        <v>53</v>
      </c>
      <c r="J213" t="s">
        <v>13</v>
      </c>
      <c r="K213" t="s">
        <v>24</v>
      </c>
      <c r="L213">
        <f t="shared" si="6"/>
        <v>3484</v>
      </c>
      <c r="M213" t="str">
        <f t="shared" si="7"/>
        <v>50-59</v>
      </c>
    </row>
    <row r="214" spans="1:13">
      <c r="A214" s="1">
        <v>213</v>
      </c>
      <c r="B214">
        <v>130</v>
      </c>
      <c r="C214">
        <v>24</v>
      </c>
      <c r="D214" t="s">
        <v>26</v>
      </c>
      <c r="E214" t="s">
        <v>23</v>
      </c>
      <c r="F214">
        <v>798</v>
      </c>
      <c r="G214">
        <v>4</v>
      </c>
      <c r="H214" s="2">
        <v>44873</v>
      </c>
      <c r="I214">
        <v>21</v>
      </c>
      <c r="J214" t="s">
        <v>13</v>
      </c>
      <c r="K214" t="s">
        <v>14</v>
      </c>
      <c r="L214">
        <f t="shared" si="6"/>
        <v>3192</v>
      </c>
      <c r="M214" t="str">
        <f t="shared" si="7"/>
        <v>20-29</v>
      </c>
    </row>
    <row r="215" spans="1:13">
      <c r="A215" s="1">
        <v>214</v>
      </c>
      <c r="B215">
        <v>60</v>
      </c>
      <c r="C215">
        <v>34</v>
      </c>
      <c r="D215" t="s">
        <v>21</v>
      </c>
      <c r="E215" t="s">
        <v>12</v>
      </c>
      <c r="F215">
        <v>451</v>
      </c>
      <c r="G215">
        <v>3</v>
      </c>
      <c r="H215" s="2">
        <v>44678</v>
      </c>
      <c r="I215">
        <v>22</v>
      </c>
      <c r="J215" t="s">
        <v>16</v>
      </c>
      <c r="K215" t="s">
        <v>14</v>
      </c>
      <c r="L215">
        <f t="shared" si="6"/>
        <v>1353</v>
      </c>
      <c r="M215" t="str">
        <f t="shared" si="7"/>
        <v>20-29</v>
      </c>
    </row>
    <row r="216" spans="1:13">
      <c r="A216" s="1">
        <v>215</v>
      </c>
      <c r="B216">
        <v>151</v>
      </c>
      <c r="C216">
        <v>28</v>
      </c>
      <c r="D216" t="s">
        <v>28</v>
      </c>
      <c r="E216" t="s">
        <v>19</v>
      </c>
      <c r="F216">
        <v>826</v>
      </c>
      <c r="G216">
        <v>4</v>
      </c>
      <c r="H216" s="2">
        <v>44695</v>
      </c>
      <c r="I216">
        <v>54</v>
      </c>
      <c r="J216" t="s">
        <v>16</v>
      </c>
      <c r="K216" t="s">
        <v>30</v>
      </c>
      <c r="L216">
        <f t="shared" si="6"/>
        <v>3304</v>
      </c>
      <c r="M216" t="str">
        <f t="shared" si="7"/>
        <v>50-59</v>
      </c>
    </row>
    <row r="217" spans="1:13">
      <c r="A217" s="1">
        <v>216</v>
      </c>
      <c r="B217">
        <v>31</v>
      </c>
      <c r="C217">
        <v>43</v>
      </c>
      <c r="D217" t="s">
        <v>11</v>
      </c>
      <c r="E217" t="s">
        <v>23</v>
      </c>
      <c r="F217">
        <v>841</v>
      </c>
      <c r="G217">
        <v>3</v>
      </c>
      <c r="H217" s="2">
        <v>44619</v>
      </c>
      <c r="I217">
        <v>25</v>
      </c>
      <c r="J217" t="s">
        <v>16</v>
      </c>
      <c r="K217" t="s">
        <v>20</v>
      </c>
      <c r="L217">
        <f t="shared" si="6"/>
        <v>2523</v>
      </c>
      <c r="M217" t="str">
        <f t="shared" si="7"/>
        <v>20-29</v>
      </c>
    </row>
    <row r="218" spans="1:13">
      <c r="A218" s="1">
        <v>217</v>
      </c>
      <c r="B218">
        <v>5</v>
      </c>
      <c r="C218">
        <v>41</v>
      </c>
      <c r="D218" t="s">
        <v>15</v>
      </c>
      <c r="E218" t="s">
        <v>23</v>
      </c>
      <c r="F218">
        <v>798</v>
      </c>
      <c r="G218">
        <v>2</v>
      </c>
      <c r="H218" s="2">
        <v>44605</v>
      </c>
      <c r="I218">
        <v>59</v>
      </c>
      <c r="J218" t="s">
        <v>13</v>
      </c>
      <c r="K218" t="s">
        <v>17</v>
      </c>
      <c r="L218">
        <f t="shared" si="6"/>
        <v>1596</v>
      </c>
      <c r="M218" t="str">
        <f t="shared" si="7"/>
        <v>50-59</v>
      </c>
    </row>
    <row r="219" spans="1:13">
      <c r="A219" s="1">
        <v>218</v>
      </c>
      <c r="B219">
        <v>162</v>
      </c>
      <c r="C219">
        <v>39</v>
      </c>
      <c r="D219" t="s">
        <v>29</v>
      </c>
      <c r="E219" t="s">
        <v>19</v>
      </c>
      <c r="F219">
        <v>947</v>
      </c>
      <c r="G219">
        <v>3</v>
      </c>
      <c r="H219" s="2">
        <v>44734</v>
      </c>
      <c r="I219">
        <v>45</v>
      </c>
      <c r="J219" t="s">
        <v>16</v>
      </c>
      <c r="K219" t="s">
        <v>20</v>
      </c>
      <c r="L219">
        <f t="shared" si="6"/>
        <v>2841</v>
      </c>
      <c r="M219" t="str">
        <f t="shared" si="7"/>
        <v>40-49</v>
      </c>
    </row>
    <row r="220" spans="1:13">
      <c r="A220" s="1">
        <v>219</v>
      </c>
      <c r="B220">
        <v>10</v>
      </c>
      <c r="C220">
        <v>22</v>
      </c>
      <c r="D220" t="s">
        <v>11</v>
      </c>
      <c r="E220" t="s">
        <v>12</v>
      </c>
      <c r="F220">
        <v>416</v>
      </c>
      <c r="G220">
        <v>3</v>
      </c>
      <c r="H220" s="2">
        <v>44721</v>
      </c>
      <c r="I220">
        <v>48</v>
      </c>
      <c r="J220" t="s">
        <v>13</v>
      </c>
      <c r="K220" t="s">
        <v>22</v>
      </c>
      <c r="L220">
        <f t="shared" si="6"/>
        <v>1248</v>
      </c>
      <c r="M220" t="str">
        <f t="shared" si="7"/>
        <v>40-49</v>
      </c>
    </row>
    <row r="221" spans="1:13">
      <c r="A221" s="1">
        <v>220</v>
      </c>
      <c r="B221">
        <v>89</v>
      </c>
      <c r="C221">
        <v>49</v>
      </c>
      <c r="D221" t="s">
        <v>21</v>
      </c>
      <c r="E221" t="s">
        <v>23</v>
      </c>
      <c r="F221">
        <v>841</v>
      </c>
      <c r="G221">
        <v>3</v>
      </c>
      <c r="H221" s="2">
        <v>44734</v>
      </c>
      <c r="I221">
        <v>26</v>
      </c>
      <c r="J221" t="s">
        <v>13</v>
      </c>
      <c r="K221" t="s">
        <v>22</v>
      </c>
      <c r="L221">
        <f t="shared" si="6"/>
        <v>2523</v>
      </c>
      <c r="M221" t="str">
        <f t="shared" si="7"/>
        <v>20-29</v>
      </c>
    </row>
    <row r="222" spans="1:13">
      <c r="A222" s="1">
        <v>221</v>
      </c>
      <c r="B222">
        <v>130</v>
      </c>
      <c r="C222">
        <v>17</v>
      </c>
      <c r="D222" t="s">
        <v>26</v>
      </c>
      <c r="E222" t="s">
        <v>23</v>
      </c>
      <c r="F222">
        <v>477</v>
      </c>
      <c r="G222">
        <v>4</v>
      </c>
      <c r="H222" s="2">
        <v>44878</v>
      </c>
      <c r="I222">
        <v>46</v>
      </c>
      <c r="J222" t="s">
        <v>13</v>
      </c>
      <c r="K222" t="s">
        <v>17</v>
      </c>
      <c r="L222">
        <f t="shared" si="6"/>
        <v>1908</v>
      </c>
      <c r="M222" t="str">
        <f t="shared" si="7"/>
        <v>40-49</v>
      </c>
    </row>
    <row r="223" spans="1:13">
      <c r="A223" s="1">
        <v>222</v>
      </c>
      <c r="B223">
        <v>126</v>
      </c>
      <c r="C223">
        <v>34</v>
      </c>
      <c r="D223" t="s">
        <v>29</v>
      </c>
      <c r="E223" t="s">
        <v>19</v>
      </c>
      <c r="F223">
        <v>320</v>
      </c>
      <c r="G223">
        <v>4</v>
      </c>
      <c r="H223" s="2">
        <v>44864</v>
      </c>
      <c r="I223">
        <v>31</v>
      </c>
      <c r="J223" t="s">
        <v>16</v>
      </c>
      <c r="K223" t="s">
        <v>30</v>
      </c>
      <c r="L223">
        <f t="shared" si="6"/>
        <v>1280</v>
      </c>
      <c r="M223" t="str">
        <f t="shared" si="7"/>
        <v>30-39</v>
      </c>
    </row>
    <row r="224" spans="1:13">
      <c r="A224" s="1">
        <v>223</v>
      </c>
      <c r="B224">
        <v>11</v>
      </c>
      <c r="C224">
        <v>6</v>
      </c>
      <c r="D224" t="s">
        <v>26</v>
      </c>
      <c r="E224" t="s">
        <v>12</v>
      </c>
      <c r="F224">
        <v>437</v>
      </c>
      <c r="G224">
        <v>3</v>
      </c>
      <c r="H224" s="2">
        <v>44710</v>
      </c>
      <c r="I224">
        <v>57</v>
      </c>
      <c r="J224" t="s">
        <v>13</v>
      </c>
      <c r="K224" t="s">
        <v>17</v>
      </c>
      <c r="L224">
        <f t="shared" si="6"/>
        <v>1311</v>
      </c>
      <c r="M224" t="str">
        <f t="shared" si="7"/>
        <v>50-59</v>
      </c>
    </row>
    <row r="225" spans="1:13">
      <c r="A225" s="1">
        <v>224</v>
      </c>
      <c r="B225">
        <v>178</v>
      </c>
      <c r="C225">
        <v>46</v>
      </c>
      <c r="D225" t="s">
        <v>15</v>
      </c>
      <c r="E225" t="s">
        <v>19</v>
      </c>
      <c r="F225">
        <v>826</v>
      </c>
      <c r="G225">
        <v>4</v>
      </c>
      <c r="H225" s="2">
        <v>44641</v>
      </c>
      <c r="I225">
        <v>58</v>
      </c>
      <c r="J225" t="s">
        <v>16</v>
      </c>
      <c r="K225" t="s">
        <v>14</v>
      </c>
      <c r="L225">
        <f t="shared" si="6"/>
        <v>3304</v>
      </c>
      <c r="M225" t="str">
        <f t="shared" si="7"/>
        <v>50-59</v>
      </c>
    </row>
    <row r="226" spans="1:13">
      <c r="A226" s="1">
        <v>225</v>
      </c>
      <c r="B226">
        <v>159</v>
      </c>
      <c r="C226">
        <v>6</v>
      </c>
      <c r="D226" t="s">
        <v>28</v>
      </c>
      <c r="E226" t="s">
        <v>12</v>
      </c>
      <c r="F226">
        <v>558</v>
      </c>
      <c r="G226">
        <v>1</v>
      </c>
      <c r="H226" s="2">
        <v>44774</v>
      </c>
      <c r="I226">
        <v>39</v>
      </c>
      <c r="J226" t="s">
        <v>13</v>
      </c>
      <c r="K226" t="s">
        <v>22</v>
      </c>
      <c r="L226">
        <f t="shared" si="6"/>
        <v>558</v>
      </c>
      <c r="M226" t="str">
        <f t="shared" si="7"/>
        <v>30-39</v>
      </c>
    </row>
    <row r="227" spans="1:13">
      <c r="A227" s="1">
        <v>226</v>
      </c>
      <c r="B227">
        <v>56</v>
      </c>
      <c r="C227">
        <v>34</v>
      </c>
      <c r="D227" t="s">
        <v>11</v>
      </c>
      <c r="E227" t="s">
        <v>12</v>
      </c>
      <c r="F227">
        <v>320</v>
      </c>
      <c r="G227">
        <v>1</v>
      </c>
      <c r="H227" s="2">
        <v>44764</v>
      </c>
      <c r="I227">
        <v>28</v>
      </c>
      <c r="J227" t="s">
        <v>16</v>
      </c>
      <c r="K227" t="s">
        <v>24</v>
      </c>
      <c r="L227">
        <f t="shared" si="6"/>
        <v>320</v>
      </c>
      <c r="M227" t="str">
        <f t="shared" si="7"/>
        <v>20-29</v>
      </c>
    </row>
    <row r="228" spans="1:13">
      <c r="A228" s="1">
        <v>227</v>
      </c>
      <c r="B228">
        <v>83</v>
      </c>
      <c r="C228">
        <v>1</v>
      </c>
      <c r="D228" t="s">
        <v>11</v>
      </c>
      <c r="E228" t="s">
        <v>19</v>
      </c>
      <c r="F228">
        <v>477</v>
      </c>
      <c r="G228">
        <v>4</v>
      </c>
      <c r="H228" s="2">
        <v>44813</v>
      </c>
      <c r="I228">
        <v>40</v>
      </c>
      <c r="J228" t="s">
        <v>13</v>
      </c>
      <c r="K228" t="s">
        <v>24</v>
      </c>
      <c r="L228">
        <f t="shared" si="6"/>
        <v>1908</v>
      </c>
      <c r="M228" t="str">
        <f t="shared" si="7"/>
        <v>40-49</v>
      </c>
    </row>
    <row r="229" spans="1:13">
      <c r="A229" s="1">
        <v>228</v>
      </c>
      <c r="B229">
        <v>137</v>
      </c>
      <c r="C229">
        <v>10</v>
      </c>
      <c r="D229" t="s">
        <v>27</v>
      </c>
      <c r="E229" t="s">
        <v>12</v>
      </c>
      <c r="F229">
        <v>798</v>
      </c>
      <c r="G229">
        <v>4</v>
      </c>
      <c r="H229" s="2">
        <v>44790</v>
      </c>
      <c r="I229">
        <v>18</v>
      </c>
      <c r="J229" t="s">
        <v>16</v>
      </c>
      <c r="K229" t="s">
        <v>30</v>
      </c>
      <c r="L229">
        <f t="shared" si="6"/>
        <v>3192</v>
      </c>
      <c r="M229" t="str">
        <f t="shared" si="7"/>
        <v>Under 20</v>
      </c>
    </row>
    <row r="230" spans="1:13">
      <c r="A230" s="1">
        <v>229</v>
      </c>
      <c r="B230">
        <v>99</v>
      </c>
      <c r="C230">
        <v>21</v>
      </c>
      <c r="D230" t="s">
        <v>29</v>
      </c>
      <c r="E230" t="s">
        <v>23</v>
      </c>
      <c r="F230">
        <v>387</v>
      </c>
      <c r="G230">
        <v>3</v>
      </c>
      <c r="H230" s="2">
        <v>44725</v>
      </c>
      <c r="I230">
        <v>63</v>
      </c>
      <c r="J230" t="s">
        <v>13</v>
      </c>
      <c r="K230" t="s">
        <v>14</v>
      </c>
      <c r="L230">
        <f t="shared" si="6"/>
        <v>1161</v>
      </c>
      <c r="M230" t="str">
        <f t="shared" si="7"/>
        <v>Above 60</v>
      </c>
    </row>
    <row r="231" spans="1:13">
      <c r="A231" s="1">
        <v>230</v>
      </c>
      <c r="B231">
        <v>149</v>
      </c>
      <c r="C231">
        <v>5</v>
      </c>
      <c r="D231" t="s">
        <v>31</v>
      </c>
      <c r="E231" t="s">
        <v>19</v>
      </c>
      <c r="F231">
        <v>345</v>
      </c>
      <c r="G231">
        <v>2</v>
      </c>
      <c r="H231" s="2">
        <v>44788</v>
      </c>
      <c r="I231">
        <v>54</v>
      </c>
      <c r="J231" t="s">
        <v>16</v>
      </c>
      <c r="K231" t="s">
        <v>20</v>
      </c>
      <c r="L231">
        <f t="shared" si="6"/>
        <v>690</v>
      </c>
      <c r="M231" t="str">
        <f t="shared" si="7"/>
        <v>50-59</v>
      </c>
    </row>
    <row r="232" spans="1:13">
      <c r="A232" s="1">
        <v>231</v>
      </c>
      <c r="B232">
        <v>73</v>
      </c>
      <c r="C232">
        <v>2</v>
      </c>
      <c r="D232" t="s">
        <v>21</v>
      </c>
      <c r="E232" t="s">
        <v>19</v>
      </c>
      <c r="F232">
        <v>251</v>
      </c>
      <c r="G232">
        <v>4</v>
      </c>
      <c r="H232" s="2">
        <v>44708</v>
      </c>
      <c r="I232">
        <v>38</v>
      </c>
      <c r="J232" t="s">
        <v>16</v>
      </c>
      <c r="K232" t="s">
        <v>14</v>
      </c>
      <c r="L232">
        <f t="shared" si="6"/>
        <v>1004</v>
      </c>
      <c r="M232" t="str">
        <f t="shared" si="7"/>
        <v>30-39</v>
      </c>
    </row>
    <row r="233" spans="1:13">
      <c r="A233" s="1">
        <v>232</v>
      </c>
      <c r="B233">
        <v>156</v>
      </c>
      <c r="C233">
        <v>22</v>
      </c>
      <c r="D233" t="s">
        <v>31</v>
      </c>
      <c r="E233" t="s">
        <v>19</v>
      </c>
      <c r="F233">
        <v>251</v>
      </c>
      <c r="G233">
        <v>1</v>
      </c>
      <c r="H233" s="2">
        <v>44581</v>
      </c>
      <c r="I233">
        <v>43</v>
      </c>
      <c r="J233" t="s">
        <v>16</v>
      </c>
      <c r="K233" t="s">
        <v>24</v>
      </c>
      <c r="L233">
        <f t="shared" si="6"/>
        <v>251</v>
      </c>
      <c r="M233" t="str">
        <f t="shared" si="7"/>
        <v>40-49</v>
      </c>
    </row>
    <row r="234" spans="1:13">
      <c r="A234" s="1">
        <v>233</v>
      </c>
      <c r="B234">
        <v>190</v>
      </c>
      <c r="C234">
        <v>48</v>
      </c>
      <c r="D234" t="s">
        <v>27</v>
      </c>
      <c r="E234" t="s">
        <v>12</v>
      </c>
      <c r="F234">
        <v>141</v>
      </c>
      <c r="G234">
        <v>3</v>
      </c>
      <c r="H234" s="2">
        <v>44608</v>
      </c>
      <c r="I234">
        <v>63</v>
      </c>
      <c r="J234" t="s">
        <v>16</v>
      </c>
      <c r="K234" t="s">
        <v>24</v>
      </c>
      <c r="L234">
        <f t="shared" si="6"/>
        <v>423</v>
      </c>
      <c r="M234" t="str">
        <f t="shared" si="7"/>
        <v>Above 60</v>
      </c>
    </row>
    <row r="235" spans="1:13">
      <c r="A235" s="1">
        <v>234</v>
      </c>
      <c r="B235">
        <v>115</v>
      </c>
      <c r="C235">
        <v>2</v>
      </c>
      <c r="D235" t="s">
        <v>15</v>
      </c>
      <c r="E235" t="s">
        <v>23</v>
      </c>
      <c r="F235">
        <v>102</v>
      </c>
      <c r="G235">
        <v>4</v>
      </c>
      <c r="H235" s="2">
        <v>44794</v>
      </c>
      <c r="I235">
        <v>53</v>
      </c>
      <c r="J235" t="s">
        <v>13</v>
      </c>
      <c r="K235" t="s">
        <v>22</v>
      </c>
      <c r="L235">
        <f t="shared" si="6"/>
        <v>408</v>
      </c>
      <c r="M235" t="str">
        <f t="shared" si="7"/>
        <v>50-59</v>
      </c>
    </row>
    <row r="236" spans="1:13">
      <c r="A236" s="1">
        <v>235</v>
      </c>
      <c r="B236">
        <v>7</v>
      </c>
      <c r="C236">
        <v>10</v>
      </c>
      <c r="D236" t="s">
        <v>21</v>
      </c>
      <c r="E236" t="s">
        <v>19</v>
      </c>
      <c r="F236">
        <v>511</v>
      </c>
      <c r="G236">
        <v>1</v>
      </c>
      <c r="H236" s="2">
        <v>44866</v>
      </c>
      <c r="I236">
        <v>40</v>
      </c>
      <c r="J236" t="s">
        <v>13</v>
      </c>
      <c r="K236" t="s">
        <v>14</v>
      </c>
      <c r="L236">
        <f t="shared" si="6"/>
        <v>511</v>
      </c>
      <c r="M236" t="str">
        <f t="shared" si="7"/>
        <v>40-49</v>
      </c>
    </row>
    <row r="237" spans="1:13">
      <c r="A237" s="1">
        <v>236</v>
      </c>
      <c r="B237">
        <v>80</v>
      </c>
      <c r="C237">
        <v>34</v>
      </c>
      <c r="D237" t="s">
        <v>28</v>
      </c>
      <c r="E237" t="s">
        <v>19</v>
      </c>
      <c r="F237">
        <v>611</v>
      </c>
      <c r="G237">
        <v>1</v>
      </c>
      <c r="H237" s="2">
        <v>44575</v>
      </c>
      <c r="I237">
        <v>18</v>
      </c>
      <c r="J237" t="s">
        <v>16</v>
      </c>
      <c r="K237" t="s">
        <v>14</v>
      </c>
      <c r="L237">
        <f t="shared" si="6"/>
        <v>611</v>
      </c>
      <c r="M237" t="str">
        <f t="shared" si="7"/>
        <v>Under 20</v>
      </c>
    </row>
    <row r="238" spans="1:13">
      <c r="A238" s="1">
        <v>237</v>
      </c>
      <c r="B238">
        <v>144</v>
      </c>
      <c r="C238">
        <v>16</v>
      </c>
      <c r="D238" t="s">
        <v>31</v>
      </c>
      <c r="E238" t="s">
        <v>19</v>
      </c>
      <c r="F238">
        <v>558</v>
      </c>
      <c r="G238">
        <v>2</v>
      </c>
      <c r="H238" s="2">
        <v>44704</v>
      </c>
      <c r="I238">
        <v>57</v>
      </c>
      <c r="J238" t="s">
        <v>13</v>
      </c>
      <c r="K238" t="s">
        <v>24</v>
      </c>
      <c r="L238">
        <f t="shared" si="6"/>
        <v>1116</v>
      </c>
      <c r="M238" t="str">
        <f t="shared" si="7"/>
        <v>50-59</v>
      </c>
    </row>
    <row r="239" spans="1:13">
      <c r="A239" s="1">
        <v>238</v>
      </c>
      <c r="B239">
        <v>97</v>
      </c>
      <c r="C239">
        <v>48</v>
      </c>
      <c r="D239" t="s">
        <v>28</v>
      </c>
      <c r="E239" t="s">
        <v>12</v>
      </c>
      <c r="F239">
        <v>971</v>
      </c>
      <c r="G239">
        <v>3</v>
      </c>
      <c r="H239" s="2">
        <v>44562</v>
      </c>
      <c r="I239">
        <v>32</v>
      </c>
      <c r="J239" t="s">
        <v>16</v>
      </c>
      <c r="K239" t="s">
        <v>20</v>
      </c>
      <c r="L239">
        <f t="shared" si="6"/>
        <v>2913</v>
      </c>
      <c r="M239" t="str">
        <f t="shared" si="7"/>
        <v>30-39</v>
      </c>
    </row>
    <row r="240" spans="1:13">
      <c r="A240" s="1">
        <v>239</v>
      </c>
      <c r="B240">
        <v>4</v>
      </c>
      <c r="C240">
        <v>39</v>
      </c>
      <c r="D240" t="s">
        <v>31</v>
      </c>
      <c r="E240" t="s">
        <v>19</v>
      </c>
      <c r="F240">
        <v>752</v>
      </c>
      <c r="G240">
        <v>3</v>
      </c>
      <c r="H240" s="2">
        <v>44615</v>
      </c>
      <c r="I240">
        <v>38</v>
      </c>
      <c r="J240" t="s">
        <v>16</v>
      </c>
      <c r="K240" t="s">
        <v>30</v>
      </c>
      <c r="L240">
        <f t="shared" si="6"/>
        <v>2256</v>
      </c>
      <c r="M240" t="str">
        <f t="shared" si="7"/>
        <v>30-39</v>
      </c>
    </row>
    <row r="241" spans="1:13">
      <c r="A241" s="1">
        <v>240</v>
      </c>
      <c r="B241">
        <v>4</v>
      </c>
      <c r="C241">
        <v>22</v>
      </c>
      <c r="D241" t="s">
        <v>28</v>
      </c>
      <c r="E241" t="s">
        <v>23</v>
      </c>
      <c r="F241">
        <v>971</v>
      </c>
      <c r="G241">
        <v>2</v>
      </c>
      <c r="H241" s="2">
        <v>44820</v>
      </c>
      <c r="I241">
        <v>64</v>
      </c>
      <c r="J241" t="s">
        <v>13</v>
      </c>
      <c r="K241" t="s">
        <v>30</v>
      </c>
      <c r="L241">
        <f t="shared" si="6"/>
        <v>1942</v>
      </c>
      <c r="M241" t="str">
        <f t="shared" si="7"/>
        <v>Above 60</v>
      </c>
    </row>
    <row r="242" spans="1:13">
      <c r="A242" s="1">
        <v>241</v>
      </c>
      <c r="B242">
        <v>103</v>
      </c>
      <c r="C242">
        <v>12</v>
      </c>
      <c r="D242" t="s">
        <v>31</v>
      </c>
      <c r="E242" t="s">
        <v>12</v>
      </c>
      <c r="F242">
        <v>865</v>
      </c>
      <c r="G242">
        <v>2</v>
      </c>
      <c r="H242" s="2">
        <v>44705</v>
      </c>
      <c r="I242">
        <v>26</v>
      </c>
      <c r="J242" t="s">
        <v>16</v>
      </c>
      <c r="K242" t="s">
        <v>14</v>
      </c>
      <c r="L242">
        <f t="shared" si="6"/>
        <v>1730</v>
      </c>
      <c r="M242" t="str">
        <f t="shared" si="7"/>
        <v>20-29</v>
      </c>
    </row>
    <row r="243" spans="1:13">
      <c r="A243" s="1">
        <v>242</v>
      </c>
      <c r="B243">
        <v>40</v>
      </c>
      <c r="C243">
        <v>24</v>
      </c>
      <c r="D243" t="s">
        <v>28</v>
      </c>
      <c r="E243" t="s">
        <v>12</v>
      </c>
      <c r="F243">
        <v>439</v>
      </c>
      <c r="G243">
        <v>3</v>
      </c>
      <c r="H243" s="2">
        <v>44573</v>
      </c>
      <c r="I243">
        <v>26</v>
      </c>
      <c r="J243" t="s">
        <v>16</v>
      </c>
      <c r="K243" t="s">
        <v>30</v>
      </c>
      <c r="L243">
        <f t="shared" si="6"/>
        <v>1317</v>
      </c>
      <c r="M243" t="str">
        <f t="shared" si="7"/>
        <v>20-29</v>
      </c>
    </row>
    <row r="244" spans="1:13">
      <c r="A244" s="1">
        <v>243</v>
      </c>
      <c r="B244">
        <v>17</v>
      </c>
      <c r="C244">
        <v>47</v>
      </c>
      <c r="D244" t="s">
        <v>27</v>
      </c>
      <c r="E244" t="s">
        <v>19</v>
      </c>
      <c r="F244">
        <v>871</v>
      </c>
      <c r="G244">
        <v>3</v>
      </c>
      <c r="H244" s="2">
        <v>44891</v>
      </c>
      <c r="I244">
        <v>27</v>
      </c>
      <c r="J244" t="s">
        <v>13</v>
      </c>
      <c r="K244" t="s">
        <v>24</v>
      </c>
      <c r="L244">
        <f t="shared" si="6"/>
        <v>2613</v>
      </c>
      <c r="M244" t="str">
        <f t="shared" si="7"/>
        <v>20-29</v>
      </c>
    </row>
    <row r="245" spans="1:13">
      <c r="A245" s="1">
        <v>244</v>
      </c>
      <c r="B245">
        <v>101</v>
      </c>
      <c r="C245">
        <v>40</v>
      </c>
      <c r="D245" t="s">
        <v>25</v>
      </c>
      <c r="E245" t="s">
        <v>12</v>
      </c>
      <c r="F245">
        <v>451</v>
      </c>
      <c r="G245">
        <v>4</v>
      </c>
      <c r="H245" s="2">
        <v>44785</v>
      </c>
      <c r="I245">
        <v>43</v>
      </c>
      <c r="J245" t="s">
        <v>16</v>
      </c>
      <c r="K245" t="s">
        <v>24</v>
      </c>
      <c r="L245">
        <f t="shared" si="6"/>
        <v>1804</v>
      </c>
      <c r="M245" t="str">
        <f t="shared" si="7"/>
        <v>40-49</v>
      </c>
    </row>
    <row r="246" spans="1:13">
      <c r="A246" s="1">
        <v>245</v>
      </c>
      <c r="B246">
        <v>103</v>
      </c>
      <c r="C246">
        <v>38</v>
      </c>
      <c r="D246" t="s">
        <v>21</v>
      </c>
      <c r="E246" t="s">
        <v>23</v>
      </c>
      <c r="F246">
        <v>928</v>
      </c>
      <c r="G246">
        <v>4</v>
      </c>
      <c r="H246" s="2">
        <v>44833</v>
      </c>
      <c r="I246">
        <v>58</v>
      </c>
      <c r="J246" t="s">
        <v>16</v>
      </c>
      <c r="K246" t="s">
        <v>14</v>
      </c>
      <c r="L246">
        <f t="shared" si="6"/>
        <v>3712</v>
      </c>
      <c r="M246" t="str">
        <f t="shared" si="7"/>
        <v>50-59</v>
      </c>
    </row>
    <row r="247" spans="1:13">
      <c r="A247" s="1">
        <v>246</v>
      </c>
      <c r="B247">
        <v>124</v>
      </c>
      <c r="C247">
        <v>10</v>
      </c>
      <c r="D247" t="s">
        <v>29</v>
      </c>
      <c r="E247" t="s">
        <v>23</v>
      </c>
      <c r="F247">
        <v>130</v>
      </c>
      <c r="G247">
        <v>2</v>
      </c>
      <c r="H247" s="2">
        <v>44919</v>
      </c>
      <c r="I247">
        <v>52</v>
      </c>
      <c r="J247" t="s">
        <v>16</v>
      </c>
      <c r="K247" t="s">
        <v>14</v>
      </c>
      <c r="L247">
        <f t="shared" si="6"/>
        <v>260</v>
      </c>
      <c r="M247" t="str">
        <f t="shared" si="7"/>
        <v>50-59</v>
      </c>
    </row>
    <row r="248" spans="1:13">
      <c r="A248" s="1">
        <v>247</v>
      </c>
      <c r="B248">
        <v>52</v>
      </c>
      <c r="C248">
        <v>35</v>
      </c>
      <c r="D248" t="s">
        <v>15</v>
      </c>
      <c r="E248" t="s">
        <v>12</v>
      </c>
      <c r="F248">
        <v>947</v>
      </c>
      <c r="G248">
        <v>4</v>
      </c>
      <c r="H248" s="2">
        <v>44717</v>
      </c>
      <c r="I248">
        <v>42</v>
      </c>
      <c r="J248" t="s">
        <v>16</v>
      </c>
      <c r="K248" t="s">
        <v>22</v>
      </c>
      <c r="L248">
        <f t="shared" si="6"/>
        <v>3788</v>
      </c>
      <c r="M248" t="str">
        <f t="shared" si="7"/>
        <v>40-49</v>
      </c>
    </row>
    <row r="249" spans="1:13">
      <c r="A249" s="1">
        <v>248</v>
      </c>
      <c r="B249">
        <v>52</v>
      </c>
      <c r="C249">
        <v>49</v>
      </c>
      <c r="D249" t="s">
        <v>18</v>
      </c>
      <c r="E249" t="s">
        <v>19</v>
      </c>
      <c r="F249">
        <v>779</v>
      </c>
      <c r="G249">
        <v>1</v>
      </c>
      <c r="H249" s="2">
        <v>44569</v>
      </c>
      <c r="I249">
        <v>43</v>
      </c>
      <c r="J249" t="s">
        <v>13</v>
      </c>
      <c r="K249" t="s">
        <v>14</v>
      </c>
      <c r="L249">
        <f t="shared" si="6"/>
        <v>779</v>
      </c>
      <c r="M249" t="str">
        <f t="shared" si="7"/>
        <v>40-49</v>
      </c>
    </row>
    <row r="250" spans="1:13">
      <c r="A250" s="1">
        <v>249</v>
      </c>
      <c r="B250">
        <v>164</v>
      </c>
      <c r="C250">
        <v>32</v>
      </c>
      <c r="D250" t="s">
        <v>26</v>
      </c>
      <c r="E250" t="s">
        <v>12</v>
      </c>
      <c r="F250">
        <v>477</v>
      </c>
      <c r="G250">
        <v>4</v>
      </c>
      <c r="H250" s="2">
        <v>44683</v>
      </c>
      <c r="I250">
        <v>28</v>
      </c>
      <c r="J250" t="s">
        <v>13</v>
      </c>
      <c r="K250" t="s">
        <v>20</v>
      </c>
      <c r="L250">
        <f t="shared" si="6"/>
        <v>1908</v>
      </c>
      <c r="M250" t="str">
        <f t="shared" si="7"/>
        <v>20-29</v>
      </c>
    </row>
    <row r="251" spans="1:13">
      <c r="A251" s="1">
        <v>250</v>
      </c>
      <c r="B251">
        <v>124</v>
      </c>
      <c r="C251">
        <v>7</v>
      </c>
      <c r="D251" t="s">
        <v>29</v>
      </c>
      <c r="E251" t="s">
        <v>23</v>
      </c>
      <c r="F251">
        <v>752</v>
      </c>
      <c r="G251">
        <v>4</v>
      </c>
      <c r="H251" s="2">
        <v>44909</v>
      </c>
      <c r="I251">
        <v>55</v>
      </c>
      <c r="J251" t="s">
        <v>13</v>
      </c>
      <c r="K251" t="s">
        <v>30</v>
      </c>
      <c r="L251">
        <f t="shared" si="6"/>
        <v>3008</v>
      </c>
      <c r="M251" t="str">
        <f t="shared" si="7"/>
        <v>50-59</v>
      </c>
    </row>
    <row r="252" spans="1:13">
      <c r="A252" s="1">
        <v>251</v>
      </c>
      <c r="B252">
        <v>166</v>
      </c>
      <c r="C252">
        <v>21</v>
      </c>
      <c r="D252" t="s">
        <v>26</v>
      </c>
      <c r="E252" t="s">
        <v>19</v>
      </c>
      <c r="F252">
        <v>526</v>
      </c>
      <c r="G252">
        <v>1</v>
      </c>
      <c r="H252" s="2">
        <v>44725</v>
      </c>
      <c r="I252">
        <v>19</v>
      </c>
      <c r="J252" t="s">
        <v>16</v>
      </c>
      <c r="K252" t="s">
        <v>14</v>
      </c>
      <c r="L252">
        <f t="shared" si="6"/>
        <v>526</v>
      </c>
      <c r="M252" t="str">
        <f t="shared" si="7"/>
        <v>Under 20</v>
      </c>
    </row>
    <row r="253" spans="1:13">
      <c r="A253" s="1">
        <v>252</v>
      </c>
      <c r="B253">
        <v>178</v>
      </c>
      <c r="C253">
        <v>20</v>
      </c>
      <c r="D253" t="s">
        <v>21</v>
      </c>
      <c r="E253" t="s">
        <v>23</v>
      </c>
      <c r="F253">
        <v>437</v>
      </c>
      <c r="G253">
        <v>2</v>
      </c>
      <c r="H253" s="2">
        <v>44651</v>
      </c>
      <c r="I253">
        <v>24</v>
      </c>
      <c r="J253" t="s">
        <v>16</v>
      </c>
      <c r="K253" t="s">
        <v>17</v>
      </c>
      <c r="L253">
        <f t="shared" si="6"/>
        <v>874</v>
      </c>
      <c r="M253" t="str">
        <f t="shared" si="7"/>
        <v>20-29</v>
      </c>
    </row>
    <row r="254" spans="1:13">
      <c r="A254" s="1">
        <v>253</v>
      </c>
      <c r="B254">
        <v>63</v>
      </c>
      <c r="C254">
        <v>26</v>
      </c>
      <c r="D254" t="s">
        <v>29</v>
      </c>
      <c r="E254" t="s">
        <v>19</v>
      </c>
      <c r="F254">
        <v>451</v>
      </c>
      <c r="G254">
        <v>1</v>
      </c>
      <c r="H254" s="2">
        <v>44697</v>
      </c>
      <c r="I254">
        <v>35</v>
      </c>
      <c r="J254" t="s">
        <v>13</v>
      </c>
      <c r="K254" t="s">
        <v>22</v>
      </c>
      <c r="L254">
        <f t="shared" si="6"/>
        <v>451</v>
      </c>
      <c r="M254" t="str">
        <f t="shared" si="7"/>
        <v>30-39</v>
      </c>
    </row>
    <row r="255" spans="1:13">
      <c r="A255" s="1">
        <v>254</v>
      </c>
      <c r="B255">
        <v>116</v>
      </c>
      <c r="C255">
        <v>4</v>
      </c>
      <c r="D255" t="s">
        <v>28</v>
      </c>
      <c r="E255" t="s">
        <v>12</v>
      </c>
      <c r="F255">
        <v>611</v>
      </c>
      <c r="G255">
        <v>4</v>
      </c>
      <c r="H255" s="2">
        <v>44747</v>
      </c>
      <c r="I255">
        <v>44</v>
      </c>
      <c r="J255" t="s">
        <v>16</v>
      </c>
      <c r="K255" t="s">
        <v>17</v>
      </c>
      <c r="L255">
        <f t="shared" si="6"/>
        <v>2444</v>
      </c>
      <c r="M255" t="str">
        <f t="shared" si="7"/>
        <v>40-49</v>
      </c>
    </row>
    <row r="256" spans="1:13">
      <c r="A256" s="1">
        <v>255</v>
      </c>
      <c r="B256">
        <v>191</v>
      </c>
      <c r="C256">
        <v>46</v>
      </c>
      <c r="D256" t="s">
        <v>28</v>
      </c>
      <c r="E256" t="s">
        <v>12</v>
      </c>
      <c r="F256">
        <v>774</v>
      </c>
      <c r="G256">
        <v>2</v>
      </c>
      <c r="H256" s="2">
        <v>44877</v>
      </c>
      <c r="I256">
        <v>51</v>
      </c>
      <c r="J256" t="s">
        <v>16</v>
      </c>
      <c r="K256" t="s">
        <v>24</v>
      </c>
      <c r="L256">
        <f t="shared" si="6"/>
        <v>1548</v>
      </c>
      <c r="M256" t="str">
        <f t="shared" si="7"/>
        <v>50-59</v>
      </c>
    </row>
    <row r="257" spans="1:13">
      <c r="A257" s="1">
        <v>256</v>
      </c>
      <c r="B257">
        <v>62</v>
      </c>
      <c r="C257">
        <v>22</v>
      </c>
      <c r="D257" t="s">
        <v>18</v>
      </c>
      <c r="E257" t="s">
        <v>12</v>
      </c>
      <c r="F257">
        <v>751</v>
      </c>
      <c r="G257">
        <v>4</v>
      </c>
      <c r="H257" s="2">
        <v>44739</v>
      </c>
      <c r="I257">
        <v>44</v>
      </c>
      <c r="J257" t="s">
        <v>16</v>
      </c>
      <c r="K257" t="s">
        <v>30</v>
      </c>
      <c r="L257">
        <f t="shared" si="6"/>
        <v>3004</v>
      </c>
      <c r="M257" t="str">
        <f t="shared" si="7"/>
        <v>40-49</v>
      </c>
    </row>
    <row r="258" spans="1:13">
      <c r="A258" s="1">
        <v>257</v>
      </c>
      <c r="B258">
        <v>7</v>
      </c>
      <c r="C258">
        <v>15</v>
      </c>
      <c r="D258" t="s">
        <v>26</v>
      </c>
      <c r="E258" t="s">
        <v>12</v>
      </c>
      <c r="F258">
        <v>345</v>
      </c>
      <c r="G258">
        <v>1</v>
      </c>
      <c r="H258" s="2">
        <v>44589</v>
      </c>
      <c r="I258">
        <v>34</v>
      </c>
      <c r="J258" t="s">
        <v>16</v>
      </c>
      <c r="K258" t="s">
        <v>14</v>
      </c>
      <c r="L258">
        <f t="shared" si="6"/>
        <v>345</v>
      </c>
      <c r="M258" t="str">
        <f t="shared" si="7"/>
        <v>30-39</v>
      </c>
    </row>
    <row r="259" spans="1:13">
      <c r="A259" s="1">
        <v>258</v>
      </c>
      <c r="B259">
        <v>155</v>
      </c>
      <c r="C259">
        <v>40</v>
      </c>
      <c r="D259" t="s">
        <v>15</v>
      </c>
      <c r="E259" t="s">
        <v>19</v>
      </c>
      <c r="F259">
        <v>971</v>
      </c>
      <c r="G259">
        <v>1</v>
      </c>
      <c r="H259" s="2">
        <v>44781</v>
      </c>
      <c r="I259">
        <v>60</v>
      </c>
      <c r="J259" t="s">
        <v>13</v>
      </c>
      <c r="K259" t="s">
        <v>17</v>
      </c>
      <c r="L259">
        <f t="shared" ref="L259:L322" si="8">F259*G259</f>
        <v>971</v>
      </c>
      <c r="M259" t="str">
        <f t="shared" ref="M259:M322" si="9">IF(I259&lt;20,"Under 20",IF(I259&lt;30,"20-29",IF(I259&lt;40,"30-39",IF(I259&lt;50,"40-49",IF(I259&lt;60,"50-59","Above 60")))))</f>
        <v>Above 60</v>
      </c>
    </row>
    <row r="260" spans="1:13">
      <c r="A260" s="1">
        <v>259</v>
      </c>
      <c r="B260">
        <v>92</v>
      </c>
      <c r="C260">
        <v>21</v>
      </c>
      <c r="D260" t="s">
        <v>21</v>
      </c>
      <c r="E260" t="s">
        <v>19</v>
      </c>
      <c r="F260">
        <v>51</v>
      </c>
      <c r="G260">
        <v>4</v>
      </c>
      <c r="H260" s="2">
        <v>44918</v>
      </c>
      <c r="I260">
        <v>61</v>
      </c>
      <c r="J260" t="s">
        <v>13</v>
      </c>
      <c r="K260" t="s">
        <v>30</v>
      </c>
      <c r="L260">
        <f t="shared" si="8"/>
        <v>204</v>
      </c>
      <c r="M260" t="str">
        <f t="shared" si="9"/>
        <v>Above 60</v>
      </c>
    </row>
    <row r="261" spans="1:13">
      <c r="A261" s="1">
        <v>260</v>
      </c>
      <c r="B261">
        <v>14</v>
      </c>
      <c r="C261">
        <v>15</v>
      </c>
      <c r="D261" t="s">
        <v>28</v>
      </c>
      <c r="E261" t="s">
        <v>12</v>
      </c>
      <c r="F261">
        <v>798</v>
      </c>
      <c r="G261">
        <v>3</v>
      </c>
      <c r="H261" s="2">
        <v>44602</v>
      </c>
      <c r="I261">
        <v>41</v>
      </c>
      <c r="J261" t="s">
        <v>13</v>
      </c>
      <c r="K261" t="s">
        <v>24</v>
      </c>
      <c r="L261">
        <f t="shared" si="8"/>
        <v>2394</v>
      </c>
      <c r="M261" t="str">
        <f t="shared" si="9"/>
        <v>40-49</v>
      </c>
    </row>
    <row r="262" spans="1:13">
      <c r="A262" s="1">
        <v>261</v>
      </c>
      <c r="B262">
        <v>199</v>
      </c>
      <c r="C262">
        <v>22</v>
      </c>
      <c r="D262" t="s">
        <v>25</v>
      </c>
      <c r="E262" t="s">
        <v>12</v>
      </c>
      <c r="F262">
        <v>301</v>
      </c>
      <c r="G262">
        <v>3</v>
      </c>
      <c r="H262" s="2">
        <v>44789</v>
      </c>
      <c r="I262">
        <v>42</v>
      </c>
      <c r="J262" t="s">
        <v>16</v>
      </c>
      <c r="K262" t="s">
        <v>20</v>
      </c>
      <c r="L262">
        <f t="shared" si="8"/>
        <v>903</v>
      </c>
      <c r="M262" t="str">
        <f t="shared" si="9"/>
        <v>40-49</v>
      </c>
    </row>
    <row r="263" spans="1:13">
      <c r="A263" s="1">
        <v>262</v>
      </c>
      <c r="B263">
        <v>86</v>
      </c>
      <c r="C263">
        <v>28</v>
      </c>
      <c r="D263" t="s">
        <v>27</v>
      </c>
      <c r="E263" t="s">
        <v>19</v>
      </c>
      <c r="F263">
        <v>776</v>
      </c>
      <c r="G263">
        <v>1</v>
      </c>
      <c r="H263" s="2">
        <v>44753</v>
      </c>
      <c r="I263">
        <v>24</v>
      </c>
      <c r="J263" t="s">
        <v>13</v>
      </c>
      <c r="K263" t="s">
        <v>22</v>
      </c>
      <c r="L263">
        <f t="shared" si="8"/>
        <v>776</v>
      </c>
      <c r="M263" t="str">
        <f t="shared" si="9"/>
        <v>20-29</v>
      </c>
    </row>
    <row r="264" spans="1:13">
      <c r="A264" s="1">
        <v>263</v>
      </c>
      <c r="B264">
        <v>133</v>
      </c>
      <c r="C264">
        <v>14</v>
      </c>
      <c r="D264" t="s">
        <v>27</v>
      </c>
      <c r="E264" t="s">
        <v>19</v>
      </c>
      <c r="F264">
        <v>841</v>
      </c>
      <c r="G264">
        <v>1</v>
      </c>
      <c r="H264" s="2">
        <v>44706</v>
      </c>
      <c r="I264">
        <v>23</v>
      </c>
      <c r="J264" t="s">
        <v>13</v>
      </c>
      <c r="K264" t="s">
        <v>30</v>
      </c>
      <c r="L264">
        <f t="shared" si="8"/>
        <v>841</v>
      </c>
      <c r="M264" t="str">
        <f t="shared" si="9"/>
        <v>20-29</v>
      </c>
    </row>
    <row r="265" spans="1:13">
      <c r="A265" s="1">
        <v>264</v>
      </c>
      <c r="B265">
        <v>183</v>
      </c>
      <c r="C265">
        <v>27</v>
      </c>
      <c r="D265" t="s">
        <v>31</v>
      </c>
      <c r="E265" t="s">
        <v>19</v>
      </c>
      <c r="F265">
        <v>155</v>
      </c>
      <c r="G265">
        <v>3</v>
      </c>
      <c r="H265" s="2">
        <v>44762</v>
      </c>
      <c r="I265">
        <v>41</v>
      </c>
      <c r="J265" t="s">
        <v>16</v>
      </c>
      <c r="K265" t="s">
        <v>30</v>
      </c>
      <c r="L265">
        <f t="shared" si="8"/>
        <v>465</v>
      </c>
      <c r="M265" t="str">
        <f t="shared" si="9"/>
        <v>40-49</v>
      </c>
    </row>
    <row r="266" spans="1:13">
      <c r="A266" s="1">
        <v>265</v>
      </c>
      <c r="B266">
        <v>130</v>
      </c>
      <c r="C266">
        <v>41</v>
      </c>
      <c r="D266" t="s">
        <v>15</v>
      </c>
      <c r="E266" t="s">
        <v>12</v>
      </c>
      <c r="F266">
        <v>928</v>
      </c>
      <c r="G266">
        <v>3</v>
      </c>
      <c r="H266" s="2">
        <v>44773</v>
      </c>
      <c r="I266">
        <v>50</v>
      </c>
      <c r="J266" t="s">
        <v>16</v>
      </c>
      <c r="K266" t="s">
        <v>20</v>
      </c>
      <c r="L266">
        <f t="shared" si="8"/>
        <v>2784</v>
      </c>
      <c r="M266" t="str">
        <f t="shared" si="9"/>
        <v>50-59</v>
      </c>
    </row>
    <row r="267" spans="1:13">
      <c r="A267" s="1">
        <v>266</v>
      </c>
      <c r="B267">
        <v>62</v>
      </c>
      <c r="C267">
        <v>40</v>
      </c>
      <c r="D267" t="s">
        <v>27</v>
      </c>
      <c r="E267" t="s">
        <v>23</v>
      </c>
      <c r="F267">
        <v>251</v>
      </c>
      <c r="G267">
        <v>4</v>
      </c>
      <c r="H267" s="2">
        <v>44781</v>
      </c>
      <c r="I267">
        <v>46</v>
      </c>
      <c r="J267" t="s">
        <v>13</v>
      </c>
      <c r="K267" t="s">
        <v>30</v>
      </c>
      <c r="L267">
        <f t="shared" si="8"/>
        <v>1004</v>
      </c>
      <c r="M267" t="str">
        <f t="shared" si="9"/>
        <v>40-49</v>
      </c>
    </row>
    <row r="268" spans="1:13">
      <c r="A268" s="1">
        <v>267</v>
      </c>
      <c r="B268">
        <v>149</v>
      </c>
      <c r="C268">
        <v>28</v>
      </c>
      <c r="D268" t="s">
        <v>31</v>
      </c>
      <c r="E268" t="s">
        <v>23</v>
      </c>
      <c r="F268">
        <v>928</v>
      </c>
      <c r="G268">
        <v>4</v>
      </c>
      <c r="H268" s="2">
        <v>44801</v>
      </c>
      <c r="I268">
        <v>60</v>
      </c>
      <c r="J268" t="s">
        <v>13</v>
      </c>
      <c r="K268" t="s">
        <v>24</v>
      </c>
      <c r="L268">
        <f t="shared" si="8"/>
        <v>3712</v>
      </c>
      <c r="M268" t="str">
        <f t="shared" si="9"/>
        <v>Above 60</v>
      </c>
    </row>
    <row r="269" spans="1:13">
      <c r="A269" s="1">
        <v>268</v>
      </c>
      <c r="B269">
        <v>79</v>
      </c>
      <c r="C269">
        <v>26</v>
      </c>
      <c r="D269" t="s">
        <v>26</v>
      </c>
      <c r="E269" t="s">
        <v>23</v>
      </c>
      <c r="F269">
        <v>319</v>
      </c>
      <c r="G269">
        <v>3</v>
      </c>
      <c r="H269" s="2">
        <v>44607</v>
      </c>
      <c r="I269">
        <v>39</v>
      </c>
      <c r="J269" t="s">
        <v>13</v>
      </c>
      <c r="K269" t="s">
        <v>24</v>
      </c>
      <c r="L269">
        <f t="shared" si="8"/>
        <v>957</v>
      </c>
      <c r="M269" t="str">
        <f t="shared" si="9"/>
        <v>30-39</v>
      </c>
    </row>
    <row r="270" spans="1:13">
      <c r="A270" s="1">
        <v>269</v>
      </c>
      <c r="B270">
        <v>149</v>
      </c>
      <c r="C270">
        <v>49</v>
      </c>
      <c r="D270" t="s">
        <v>28</v>
      </c>
      <c r="E270" t="s">
        <v>19</v>
      </c>
      <c r="F270">
        <v>387</v>
      </c>
      <c r="G270">
        <v>4</v>
      </c>
      <c r="H270" s="2">
        <v>44596</v>
      </c>
      <c r="I270">
        <v>43</v>
      </c>
      <c r="J270" t="s">
        <v>13</v>
      </c>
      <c r="K270" t="s">
        <v>20</v>
      </c>
      <c r="L270">
        <f t="shared" si="8"/>
        <v>1548</v>
      </c>
      <c r="M270" t="str">
        <f t="shared" si="9"/>
        <v>40-49</v>
      </c>
    </row>
    <row r="271" spans="1:13">
      <c r="A271" s="1">
        <v>270</v>
      </c>
      <c r="B271">
        <v>138</v>
      </c>
      <c r="C271">
        <v>2</v>
      </c>
      <c r="D271" t="s">
        <v>28</v>
      </c>
      <c r="E271" t="s">
        <v>23</v>
      </c>
      <c r="F271">
        <v>389</v>
      </c>
      <c r="G271">
        <v>4</v>
      </c>
      <c r="H271" s="2">
        <v>44814</v>
      </c>
      <c r="I271">
        <v>45</v>
      </c>
      <c r="J271" t="s">
        <v>16</v>
      </c>
      <c r="K271" t="s">
        <v>22</v>
      </c>
      <c r="L271">
        <f t="shared" si="8"/>
        <v>1556</v>
      </c>
      <c r="M271" t="str">
        <f t="shared" si="9"/>
        <v>40-49</v>
      </c>
    </row>
    <row r="272" spans="1:13">
      <c r="A272" s="1">
        <v>271</v>
      </c>
      <c r="B272">
        <v>58</v>
      </c>
      <c r="C272">
        <v>25</v>
      </c>
      <c r="D272" t="s">
        <v>25</v>
      </c>
      <c r="E272" t="s">
        <v>12</v>
      </c>
      <c r="F272">
        <v>774</v>
      </c>
      <c r="G272">
        <v>2</v>
      </c>
      <c r="H272" s="2">
        <v>44643</v>
      </c>
      <c r="I272">
        <v>38</v>
      </c>
      <c r="J272" t="s">
        <v>13</v>
      </c>
      <c r="K272" t="s">
        <v>14</v>
      </c>
      <c r="L272">
        <f t="shared" si="8"/>
        <v>1548</v>
      </c>
      <c r="M272" t="str">
        <f t="shared" si="9"/>
        <v>30-39</v>
      </c>
    </row>
    <row r="273" spans="1:13">
      <c r="A273" s="1">
        <v>272</v>
      </c>
      <c r="B273">
        <v>120</v>
      </c>
      <c r="C273">
        <v>3</v>
      </c>
      <c r="D273" t="s">
        <v>29</v>
      </c>
      <c r="E273" t="s">
        <v>12</v>
      </c>
      <c r="F273">
        <v>102</v>
      </c>
      <c r="G273">
        <v>4</v>
      </c>
      <c r="H273" s="2">
        <v>44817</v>
      </c>
      <c r="I273">
        <v>24</v>
      </c>
      <c r="J273" t="s">
        <v>13</v>
      </c>
      <c r="K273" t="s">
        <v>17</v>
      </c>
      <c r="L273">
        <f t="shared" si="8"/>
        <v>408</v>
      </c>
      <c r="M273" t="str">
        <f t="shared" si="9"/>
        <v>20-29</v>
      </c>
    </row>
    <row r="274" spans="1:13">
      <c r="A274" s="1">
        <v>273</v>
      </c>
      <c r="B274">
        <v>167</v>
      </c>
      <c r="C274">
        <v>8</v>
      </c>
      <c r="D274" t="s">
        <v>27</v>
      </c>
      <c r="E274" t="s">
        <v>19</v>
      </c>
      <c r="F274">
        <v>912</v>
      </c>
      <c r="G274">
        <v>1</v>
      </c>
      <c r="H274" s="2">
        <v>44758</v>
      </c>
      <c r="I274">
        <v>34</v>
      </c>
      <c r="J274" t="s">
        <v>16</v>
      </c>
      <c r="K274" t="s">
        <v>14</v>
      </c>
      <c r="L274">
        <f t="shared" si="8"/>
        <v>912</v>
      </c>
      <c r="M274" t="str">
        <f t="shared" si="9"/>
        <v>30-39</v>
      </c>
    </row>
    <row r="275" spans="1:13">
      <c r="A275" s="1">
        <v>274</v>
      </c>
      <c r="B275">
        <v>133</v>
      </c>
      <c r="C275">
        <v>44</v>
      </c>
      <c r="D275" t="s">
        <v>26</v>
      </c>
      <c r="E275" t="s">
        <v>12</v>
      </c>
      <c r="F275">
        <v>301</v>
      </c>
      <c r="G275">
        <v>4</v>
      </c>
      <c r="H275" s="2">
        <v>44864</v>
      </c>
      <c r="I275">
        <v>37</v>
      </c>
      <c r="J275" t="s">
        <v>13</v>
      </c>
      <c r="K275" t="s">
        <v>30</v>
      </c>
      <c r="L275">
        <f t="shared" si="8"/>
        <v>1204</v>
      </c>
      <c r="M275" t="str">
        <f t="shared" si="9"/>
        <v>30-39</v>
      </c>
    </row>
    <row r="276" spans="1:13">
      <c r="A276" s="1">
        <v>275</v>
      </c>
      <c r="B276">
        <v>65</v>
      </c>
      <c r="C276">
        <v>33</v>
      </c>
      <c r="D276" t="s">
        <v>11</v>
      </c>
      <c r="E276" t="s">
        <v>19</v>
      </c>
      <c r="F276">
        <v>825</v>
      </c>
      <c r="G276">
        <v>4</v>
      </c>
      <c r="H276" s="2">
        <v>44571</v>
      </c>
      <c r="I276">
        <v>58</v>
      </c>
      <c r="J276" t="s">
        <v>16</v>
      </c>
      <c r="K276" t="s">
        <v>17</v>
      </c>
      <c r="L276">
        <f t="shared" si="8"/>
        <v>3300</v>
      </c>
      <c r="M276" t="str">
        <f t="shared" si="9"/>
        <v>50-59</v>
      </c>
    </row>
    <row r="277" spans="1:13">
      <c r="A277" s="1">
        <v>276</v>
      </c>
      <c r="B277">
        <v>13</v>
      </c>
      <c r="C277">
        <v>42</v>
      </c>
      <c r="D277" t="s">
        <v>27</v>
      </c>
      <c r="E277" t="s">
        <v>23</v>
      </c>
      <c r="F277">
        <v>971</v>
      </c>
      <c r="G277">
        <v>3</v>
      </c>
      <c r="H277" s="2">
        <v>44873</v>
      </c>
      <c r="I277">
        <v>37</v>
      </c>
      <c r="J277" t="s">
        <v>16</v>
      </c>
      <c r="K277" t="s">
        <v>20</v>
      </c>
      <c r="L277">
        <f t="shared" si="8"/>
        <v>2913</v>
      </c>
      <c r="M277" t="str">
        <f t="shared" si="9"/>
        <v>30-39</v>
      </c>
    </row>
    <row r="278" spans="1:13">
      <c r="A278" s="1">
        <v>277</v>
      </c>
      <c r="B278">
        <v>181</v>
      </c>
      <c r="C278">
        <v>35</v>
      </c>
      <c r="D278" t="s">
        <v>15</v>
      </c>
      <c r="E278" t="s">
        <v>23</v>
      </c>
      <c r="F278">
        <v>614</v>
      </c>
      <c r="G278">
        <v>1</v>
      </c>
      <c r="H278" s="2">
        <v>44847</v>
      </c>
      <c r="I278">
        <v>39</v>
      </c>
      <c r="J278" t="s">
        <v>16</v>
      </c>
      <c r="K278" t="s">
        <v>20</v>
      </c>
      <c r="L278">
        <f t="shared" si="8"/>
        <v>614</v>
      </c>
      <c r="M278" t="str">
        <f t="shared" si="9"/>
        <v>30-39</v>
      </c>
    </row>
    <row r="279" spans="1:13">
      <c r="A279" s="1">
        <v>278</v>
      </c>
      <c r="B279">
        <v>82</v>
      </c>
      <c r="C279">
        <v>6</v>
      </c>
      <c r="D279" t="s">
        <v>29</v>
      </c>
      <c r="E279" t="s">
        <v>19</v>
      </c>
      <c r="F279">
        <v>319</v>
      </c>
      <c r="G279">
        <v>4</v>
      </c>
      <c r="H279" s="2">
        <v>44803</v>
      </c>
      <c r="I279">
        <v>45</v>
      </c>
      <c r="J279" t="s">
        <v>13</v>
      </c>
      <c r="K279" t="s">
        <v>22</v>
      </c>
      <c r="L279">
        <f t="shared" si="8"/>
        <v>1276</v>
      </c>
      <c r="M279" t="str">
        <f t="shared" si="9"/>
        <v>40-49</v>
      </c>
    </row>
    <row r="280" spans="1:13">
      <c r="A280" s="1">
        <v>279</v>
      </c>
      <c r="B280">
        <v>173</v>
      </c>
      <c r="C280">
        <v>39</v>
      </c>
      <c r="D280" t="s">
        <v>27</v>
      </c>
      <c r="E280" t="s">
        <v>19</v>
      </c>
      <c r="F280">
        <v>825</v>
      </c>
      <c r="G280">
        <v>4</v>
      </c>
      <c r="H280" s="2">
        <v>44812</v>
      </c>
      <c r="I280">
        <v>57</v>
      </c>
      <c r="J280" t="s">
        <v>13</v>
      </c>
      <c r="K280" t="s">
        <v>17</v>
      </c>
      <c r="L280">
        <f t="shared" si="8"/>
        <v>3300</v>
      </c>
      <c r="M280" t="str">
        <f t="shared" si="9"/>
        <v>50-59</v>
      </c>
    </row>
    <row r="281" spans="1:13">
      <c r="A281" s="1">
        <v>280</v>
      </c>
      <c r="B281">
        <v>160</v>
      </c>
      <c r="C281">
        <v>23</v>
      </c>
      <c r="D281" t="s">
        <v>26</v>
      </c>
      <c r="E281" t="s">
        <v>12</v>
      </c>
      <c r="F281">
        <v>981</v>
      </c>
      <c r="G281">
        <v>2</v>
      </c>
      <c r="H281" s="2">
        <v>44926</v>
      </c>
      <c r="I281">
        <v>24</v>
      </c>
      <c r="J281" t="s">
        <v>16</v>
      </c>
      <c r="K281" t="s">
        <v>24</v>
      </c>
      <c r="L281">
        <f t="shared" si="8"/>
        <v>1962</v>
      </c>
      <c r="M281" t="str">
        <f t="shared" si="9"/>
        <v>20-29</v>
      </c>
    </row>
    <row r="282" spans="1:13">
      <c r="A282" s="1">
        <v>281</v>
      </c>
      <c r="B282">
        <v>164</v>
      </c>
      <c r="C282">
        <v>25</v>
      </c>
      <c r="D282" t="s">
        <v>27</v>
      </c>
      <c r="E282" t="s">
        <v>12</v>
      </c>
      <c r="F282">
        <v>921</v>
      </c>
      <c r="G282">
        <v>4</v>
      </c>
      <c r="H282" s="2">
        <v>44566</v>
      </c>
      <c r="I282">
        <v>18</v>
      </c>
      <c r="J282" t="s">
        <v>13</v>
      </c>
      <c r="K282" t="s">
        <v>17</v>
      </c>
      <c r="L282">
        <f t="shared" si="8"/>
        <v>3684</v>
      </c>
      <c r="M282" t="str">
        <f t="shared" si="9"/>
        <v>Under 20</v>
      </c>
    </row>
    <row r="283" spans="1:13">
      <c r="A283" s="1">
        <v>282</v>
      </c>
      <c r="B283">
        <v>188</v>
      </c>
      <c r="C283">
        <v>50</v>
      </c>
      <c r="D283" t="s">
        <v>15</v>
      </c>
      <c r="E283" t="s">
        <v>23</v>
      </c>
      <c r="F283">
        <v>605</v>
      </c>
      <c r="G283">
        <v>4</v>
      </c>
      <c r="H283" s="2">
        <v>44680</v>
      </c>
      <c r="I283">
        <v>49</v>
      </c>
      <c r="J283" t="s">
        <v>13</v>
      </c>
      <c r="K283" t="s">
        <v>30</v>
      </c>
      <c r="L283">
        <f t="shared" si="8"/>
        <v>2420</v>
      </c>
      <c r="M283" t="str">
        <f t="shared" si="9"/>
        <v>40-49</v>
      </c>
    </row>
    <row r="284" spans="1:13">
      <c r="A284" s="1">
        <v>283</v>
      </c>
      <c r="B284">
        <v>139</v>
      </c>
      <c r="C284">
        <v>43</v>
      </c>
      <c r="D284" t="s">
        <v>11</v>
      </c>
      <c r="E284" t="s">
        <v>23</v>
      </c>
      <c r="F284">
        <v>102</v>
      </c>
      <c r="G284">
        <v>2</v>
      </c>
      <c r="H284" s="2">
        <v>44850</v>
      </c>
      <c r="I284">
        <v>30</v>
      </c>
      <c r="J284" t="s">
        <v>16</v>
      </c>
      <c r="K284" t="s">
        <v>24</v>
      </c>
      <c r="L284">
        <f t="shared" si="8"/>
        <v>204</v>
      </c>
      <c r="M284" t="str">
        <f t="shared" si="9"/>
        <v>30-39</v>
      </c>
    </row>
    <row r="285" spans="1:13">
      <c r="A285" s="1">
        <v>284</v>
      </c>
      <c r="B285">
        <v>191</v>
      </c>
      <c r="C285">
        <v>19</v>
      </c>
      <c r="D285" t="s">
        <v>21</v>
      </c>
      <c r="E285" t="s">
        <v>12</v>
      </c>
      <c r="F285">
        <v>558</v>
      </c>
      <c r="G285">
        <v>3</v>
      </c>
      <c r="H285" s="2">
        <v>44626</v>
      </c>
      <c r="I285">
        <v>47</v>
      </c>
      <c r="J285" t="s">
        <v>16</v>
      </c>
      <c r="K285" t="s">
        <v>20</v>
      </c>
      <c r="L285">
        <f t="shared" si="8"/>
        <v>1674</v>
      </c>
      <c r="M285" t="str">
        <f t="shared" si="9"/>
        <v>40-49</v>
      </c>
    </row>
    <row r="286" spans="1:13">
      <c r="A286" s="1">
        <v>285</v>
      </c>
      <c r="B286">
        <v>149</v>
      </c>
      <c r="C286">
        <v>5</v>
      </c>
      <c r="D286" t="s">
        <v>18</v>
      </c>
      <c r="E286" t="s">
        <v>19</v>
      </c>
      <c r="F286">
        <v>921</v>
      </c>
      <c r="G286">
        <v>4</v>
      </c>
      <c r="H286" s="2">
        <v>44707</v>
      </c>
      <c r="I286">
        <v>40</v>
      </c>
      <c r="J286" t="s">
        <v>13</v>
      </c>
      <c r="K286" t="s">
        <v>17</v>
      </c>
      <c r="L286">
        <f t="shared" si="8"/>
        <v>3684</v>
      </c>
      <c r="M286" t="str">
        <f t="shared" si="9"/>
        <v>40-49</v>
      </c>
    </row>
    <row r="287" spans="1:13">
      <c r="A287" s="1">
        <v>286</v>
      </c>
      <c r="B287">
        <v>52</v>
      </c>
      <c r="C287">
        <v>11</v>
      </c>
      <c r="D287" t="s">
        <v>11</v>
      </c>
      <c r="E287" t="s">
        <v>23</v>
      </c>
      <c r="F287">
        <v>511</v>
      </c>
      <c r="G287">
        <v>2</v>
      </c>
      <c r="H287" s="2">
        <v>44785</v>
      </c>
      <c r="I287">
        <v>36</v>
      </c>
      <c r="J287" t="s">
        <v>16</v>
      </c>
      <c r="K287" t="s">
        <v>14</v>
      </c>
      <c r="L287">
        <f t="shared" si="8"/>
        <v>1022</v>
      </c>
      <c r="M287" t="str">
        <f t="shared" si="9"/>
        <v>30-39</v>
      </c>
    </row>
    <row r="288" spans="1:13">
      <c r="A288" s="1">
        <v>287</v>
      </c>
      <c r="B288">
        <v>183</v>
      </c>
      <c r="C288">
        <v>12</v>
      </c>
      <c r="D288" t="s">
        <v>31</v>
      </c>
      <c r="E288" t="s">
        <v>19</v>
      </c>
      <c r="F288">
        <v>437</v>
      </c>
      <c r="G288">
        <v>1</v>
      </c>
      <c r="H288" s="2">
        <v>44800</v>
      </c>
      <c r="I288">
        <v>49</v>
      </c>
      <c r="J288" t="s">
        <v>13</v>
      </c>
      <c r="K288" t="s">
        <v>22</v>
      </c>
      <c r="L288">
        <f t="shared" si="8"/>
        <v>437</v>
      </c>
      <c r="M288" t="str">
        <f t="shared" si="9"/>
        <v>40-49</v>
      </c>
    </row>
    <row r="289" spans="1:13">
      <c r="A289" s="1">
        <v>288</v>
      </c>
      <c r="B289">
        <v>117</v>
      </c>
      <c r="C289">
        <v>10</v>
      </c>
      <c r="D289" t="s">
        <v>27</v>
      </c>
      <c r="E289" t="s">
        <v>19</v>
      </c>
      <c r="F289">
        <v>320</v>
      </c>
      <c r="G289">
        <v>3</v>
      </c>
      <c r="H289" s="2">
        <v>44738</v>
      </c>
      <c r="I289">
        <v>47</v>
      </c>
      <c r="J289" t="s">
        <v>13</v>
      </c>
      <c r="K289" t="s">
        <v>14</v>
      </c>
      <c r="L289">
        <f t="shared" si="8"/>
        <v>960</v>
      </c>
      <c r="M289" t="str">
        <f t="shared" si="9"/>
        <v>40-49</v>
      </c>
    </row>
    <row r="290" spans="1:13">
      <c r="A290" s="1">
        <v>289</v>
      </c>
      <c r="B290">
        <v>26</v>
      </c>
      <c r="C290">
        <v>8</v>
      </c>
      <c r="D290" t="s">
        <v>28</v>
      </c>
      <c r="E290" t="s">
        <v>23</v>
      </c>
      <c r="F290">
        <v>84</v>
      </c>
      <c r="G290">
        <v>1</v>
      </c>
      <c r="H290" s="2">
        <v>44828</v>
      </c>
      <c r="I290">
        <v>46</v>
      </c>
      <c r="J290" t="s">
        <v>13</v>
      </c>
      <c r="K290" t="s">
        <v>22</v>
      </c>
      <c r="L290">
        <f t="shared" si="8"/>
        <v>84</v>
      </c>
      <c r="M290" t="str">
        <f t="shared" si="9"/>
        <v>40-49</v>
      </c>
    </row>
    <row r="291" spans="1:13">
      <c r="A291" s="1">
        <v>290</v>
      </c>
      <c r="B291">
        <v>196</v>
      </c>
      <c r="C291">
        <v>24</v>
      </c>
      <c r="D291" t="s">
        <v>25</v>
      </c>
      <c r="E291" t="s">
        <v>23</v>
      </c>
      <c r="F291">
        <v>387</v>
      </c>
      <c r="G291">
        <v>1</v>
      </c>
      <c r="H291" s="2">
        <v>44902</v>
      </c>
      <c r="I291">
        <v>62</v>
      </c>
      <c r="J291" t="s">
        <v>13</v>
      </c>
      <c r="K291" t="s">
        <v>30</v>
      </c>
      <c r="L291">
        <f t="shared" si="8"/>
        <v>387</v>
      </c>
      <c r="M291" t="str">
        <f t="shared" si="9"/>
        <v>Above 60</v>
      </c>
    </row>
    <row r="292" spans="1:13">
      <c r="A292" s="1">
        <v>291</v>
      </c>
      <c r="B292">
        <v>34</v>
      </c>
      <c r="C292">
        <v>28</v>
      </c>
      <c r="D292" t="s">
        <v>28</v>
      </c>
      <c r="E292" t="s">
        <v>19</v>
      </c>
      <c r="F292">
        <v>614</v>
      </c>
      <c r="G292">
        <v>2</v>
      </c>
      <c r="H292" s="2">
        <v>44843</v>
      </c>
      <c r="I292">
        <v>46</v>
      </c>
      <c r="J292" t="s">
        <v>16</v>
      </c>
      <c r="K292" t="s">
        <v>14</v>
      </c>
      <c r="L292">
        <f t="shared" si="8"/>
        <v>1228</v>
      </c>
      <c r="M292" t="str">
        <f t="shared" si="9"/>
        <v>40-49</v>
      </c>
    </row>
    <row r="293" spans="1:13">
      <c r="A293" s="1">
        <v>292</v>
      </c>
      <c r="B293">
        <v>52</v>
      </c>
      <c r="C293">
        <v>41</v>
      </c>
      <c r="D293" t="s">
        <v>11</v>
      </c>
      <c r="E293" t="s">
        <v>19</v>
      </c>
      <c r="F293">
        <v>558</v>
      </c>
      <c r="G293">
        <v>4</v>
      </c>
      <c r="H293" s="2">
        <v>44624</v>
      </c>
      <c r="I293">
        <v>47</v>
      </c>
      <c r="J293" t="s">
        <v>16</v>
      </c>
      <c r="K293" t="s">
        <v>17</v>
      </c>
      <c r="L293">
        <f t="shared" si="8"/>
        <v>2232</v>
      </c>
      <c r="M293" t="str">
        <f t="shared" si="9"/>
        <v>40-49</v>
      </c>
    </row>
    <row r="294" spans="1:13">
      <c r="A294" s="1">
        <v>293</v>
      </c>
      <c r="B294">
        <v>112</v>
      </c>
      <c r="C294">
        <v>36</v>
      </c>
      <c r="D294" t="s">
        <v>28</v>
      </c>
      <c r="E294" t="s">
        <v>19</v>
      </c>
      <c r="F294">
        <v>511</v>
      </c>
      <c r="G294">
        <v>2</v>
      </c>
      <c r="H294" s="2">
        <v>44778</v>
      </c>
      <c r="I294">
        <v>33</v>
      </c>
      <c r="J294" t="s">
        <v>16</v>
      </c>
      <c r="K294" t="s">
        <v>17</v>
      </c>
      <c r="L294">
        <f t="shared" si="8"/>
        <v>1022</v>
      </c>
      <c r="M294" t="str">
        <f t="shared" si="9"/>
        <v>30-39</v>
      </c>
    </row>
    <row r="295" spans="1:13">
      <c r="A295" s="1">
        <v>294</v>
      </c>
      <c r="B295">
        <v>82</v>
      </c>
      <c r="C295">
        <v>37</v>
      </c>
      <c r="D295" t="s">
        <v>26</v>
      </c>
      <c r="E295" t="s">
        <v>12</v>
      </c>
      <c r="F295">
        <v>826</v>
      </c>
      <c r="G295">
        <v>2</v>
      </c>
      <c r="H295" s="2">
        <v>44903</v>
      </c>
      <c r="I295">
        <v>57</v>
      </c>
      <c r="J295" t="s">
        <v>16</v>
      </c>
      <c r="K295" t="s">
        <v>14</v>
      </c>
      <c r="L295">
        <f t="shared" si="8"/>
        <v>1652</v>
      </c>
      <c r="M295" t="str">
        <f t="shared" si="9"/>
        <v>50-59</v>
      </c>
    </row>
    <row r="296" spans="1:13">
      <c r="A296" s="1">
        <v>295</v>
      </c>
      <c r="B296">
        <v>180</v>
      </c>
      <c r="C296">
        <v>21</v>
      </c>
      <c r="D296" t="s">
        <v>28</v>
      </c>
      <c r="E296" t="s">
        <v>23</v>
      </c>
      <c r="F296">
        <v>752</v>
      </c>
      <c r="G296">
        <v>2</v>
      </c>
      <c r="H296" s="2">
        <v>44876</v>
      </c>
      <c r="I296">
        <v>36</v>
      </c>
      <c r="J296" t="s">
        <v>13</v>
      </c>
      <c r="K296" t="s">
        <v>17</v>
      </c>
      <c r="L296">
        <f t="shared" si="8"/>
        <v>1504</v>
      </c>
      <c r="M296" t="str">
        <f t="shared" si="9"/>
        <v>30-39</v>
      </c>
    </row>
    <row r="297" spans="1:13">
      <c r="A297" s="1">
        <v>296</v>
      </c>
      <c r="B297">
        <v>157</v>
      </c>
      <c r="C297">
        <v>8</v>
      </c>
      <c r="D297" t="s">
        <v>29</v>
      </c>
      <c r="E297" t="s">
        <v>23</v>
      </c>
      <c r="F297">
        <v>387</v>
      </c>
      <c r="G297">
        <v>2</v>
      </c>
      <c r="H297" s="2">
        <v>44844</v>
      </c>
      <c r="I297">
        <v>35</v>
      </c>
      <c r="J297" t="s">
        <v>13</v>
      </c>
      <c r="K297" t="s">
        <v>30</v>
      </c>
      <c r="L297">
        <f t="shared" si="8"/>
        <v>774</v>
      </c>
      <c r="M297" t="str">
        <f t="shared" si="9"/>
        <v>30-39</v>
      </c>
    </row>
    <row r="298" spans="1:13">
      <c r="A298" s="1">
        <v>297</v>
      </c>
      <c r="B298">
        <v>166</v>
      </c>
      <c r="C298">
        <v>9</v>
      </c>
      <c r="D298" t="s">
        <v>21</v>
      </c>
      <c r="E298" t="s">
        <v>23</v>
      </c>
      <c r="F298">
        <v>504</v>
      </c>
      <c r="G298">
        <v>3</v>
      </c>
      <c r="H298" s="2">
        <v>44738</v>
      </c>
      <c r="I298">
        <v>18</v>
      </c>
      <c r="J298" t="s">
        <v>16</v>
      </c>
      <c r="K298" t="s">
        <v>24</v>
      </c>
      <c r="L298">
        <f t="shared" si="8"/>
        <v>1512</v>
      </c>
      <c r="M298" t="str">
        <f t="shared" si="9"/>
        <v>Under 20</v>
      </c>
    </row>
    <row r="299" spans="1:13">
      <c r="A299" s="1">
        <v>298</v>
      </c>
      <c r="B299">
        <v>42</v>
      </c>
      <c r="C299">
        <v>47</v>
      </c>
      <c r="D299" t="s">
        <v>27</v>
      </c>
      <c r="E299" t="s">
        <v>23</v>
      </c>
      <c r="F299">
        <v>387</v>
      </c>
      <c r="G299">
        <v>4</v>
      </c>
      <c r="H299" s="2">
        <v>44659</v>
      </c>
      <c r="I299">
        <v>31</v>
      </c>
      <c r="J299" t="s">
        <v>13</v>
      </c>
      <c r="K299" t="s">
        <v>30</v>
      </c>
      <c r="L299">
        <f t="shared" si="8"/>
        <v>1548</v>
      </c>
      <c r="M299" t="str">
        <f t="shared" si="9"/>
        <v>30-39</v>
      </c>
    </row>
    <row r="300" spans="1:13">
      <c r="A300" s="1">
        <v>299</v>
      </c>
      <c r="B300">
        <v>21</v>
      </c>
      <c r="C300">
        <v>15</v>
      </c>
      <c r="D300" t="s">
        <v>28</v>
      </c>
      <c r="E300" t="s">
        <v>12</v>
      </c>
      <c r="F300">
        <v>345</v>
      </c>
      <c r="G300">
        <v>1</v>
      </c>
      <c r="H300" s="2">
        <v>44666</v>
      </c>
      <c r="I300">
        <v>64</v>
      </c>
      <c r="J300" t="s">
        <v>13</v>
      </c>
      <c r="K300" t="s">
        <v>22</v>
      </c>
      <c r="L300">
        <f t="shared" si="8"/>
        <v>345</v>
      </c>
      <c r="M300" t="str">
        <f t="shared" si="9"/>
        <v>Above 60</v>
      </c>
    </row>
    <row r="301" spans="1:13">
      <c r="A301" s="1">
        <v>300</v>
      </c>
      <c r="B301">
        <v>42</v>
      </c>
      <c r="C301">
        <v>48</v>
      </c>
      <c r="D301" t="s">
        <v>15</v>
      </c>
      <c r="E301" t="s">
        <v>19</v>
      </c>
      <c r="F301">
        <v>611</v>
      </c>
      <c r="G301">
        <v>1</v>
      </c>
      <c r="H301" s="2">
        <v>44660</v>
      </c>
      <c r="I301">
        <v>19</v>
      </c>
      <c r="J301" t="s">
        <v>13</v>
      </c>
      <c r="K301" t="s">
        <v>30</v>
      </c>
      <c r="L301">
        <f t="shared" si="8"/>
        <v>611</v>
      </c>
      <c r="M301" t="str">
        <f t="shared" si="9"/>
        <v>Under 20</v>
      </c>
    </row>
    <row r="302" spans="1:13">
      <c r="A302" s="1">
        <v>301</v>
      </c>
      <c r="B302">
        <v>141</v>
      </c>
      <c r="C302">
        <v>46</v>
      </c>
      <c r="D302" t="s">
        <v>21</v>
      </c>
      <c r="E302" t="s">
        <v>12</v>
      </c>
      <c r="F302">
        <v>477</v>
      </c>
      <c r="G302">
        <v>4</v>
      </c>
      <c r="H302" s="2">
        <v>44872</v>
      </c>
      <c r="I302">
        <v>45</v>
      </c>
      <c r="J302" t="s">
        <v>16</v>
      </c>
      <c r="K302" t="s">
        <v>22</v>
      </c>
      <c r="L302">
        <f t="shared" si="8"/>
        <v>1908</v>
      </c>
      <c r="M302" t="str">
        <f t="shared" si="9"/>
        <v>40-49</v>
      </c>
    </row>
    <row r="303" spans="1:13">
      <c r="A303" s="1">
        <v>302</v>
      </c>
      <c r="B303">
        <v>113</v>
      </c>
      <c r="C303">
        <v>40</v>
      </c>
      <c r="D303" t="s">
        <v>21</v>
      </c>
      <c r="E303" t="s">
        <v>12</v>
      </c>
      <c r="F303">
        <v>141</v>
      </c>
      <c r="G303">
        <v>1</v>
      </c>
      <c r="H303" s="2">
        <v>44567</v>
      </c>
      <c r="I303">
        <v>47</v>
      </c>
      <c r="J303" t="s">
        <v>16</v>
      </c>
      <c r="K303" t="s">
        <v>17</v>
      </c>
      <c r="L303">
        <f t="shared" si="8"/>
        <v>141</v>
      </c>
      <c r="M303" t="str">
        <f t="shared" si="9"/>
        <v>40-49</v>
      </c>
    </row>
    <row r="304" spans="1:13">
      <c r="A304" s="1">
        <v>303</v>
      </c>
      <c r="B304">
        <v>105</v>
      </c>
      <c r="C304">
        <v>18</v>
      </c>
      <c r="D304" t="s">
        <v>28</v>
      </c>
      <c r="E304" t="s">
        <v>19</v>
      </c>
      <c r="F304">
        <v>774</v>
      </c>
      <c r="G304">
        <v>4</v>
      </c>
      <c r="H304" s="2">
        <v>44758</v>
      </c>
      <c r="I304">
        <v>55</v>
      </c>
      <c r="J304" t="s">
        <v>16</v>
      </c>
      <c r="K304" t="s">
        <v>24</v>
      </c>
      <c r="L304">
        <f t="shared" si="8"/>
        <v>3096</v>
      </c>
      <c r="M304" t="str">
        <f t="shared" si="9"/>
        <v>50-59</v>
      </c>
    </row>
    <row r="305" spans="1:13">
      <c r="A305" s="1">
        <v>304</v>
      </c>
      <c r="B305">
        <v>192</v>
      </c>
      <c r="C305">
        <v>42</v>
      </c>
      <c r="D305" t="s">
        <v>21</v>
      </c>
      <c r="E305" t="s">
        <v>19</v>
      </c>
      <c r="F305">
        <v>871</v>
      </c>
      <c r="G305">
        <v>1</v>
      </c>
      <c r="H305" s="2">
        <v>44912</v>
      </c>
      <c r="I305">
        <v>21</v>
      </c>
      <c r="J305" t="s">
        <v>13</v>
      </c>
      <c r="K305" t="s">
        <v>17</v>
      </c>
      <c r="L305">
        <f t="shared" si="8"/>
        <v>871</v>
      </c>
      <c r="M305" t="str">
        <f t="shared" si="9"/>
        <v>20-29</v>
      </c>
    </row>
    <row r="306" spans="1:13">
      <c r="A306" s="1">
        <v>305</v>
      </c>
      <c r="B306">
        <v>17</v>
      </c>
      <c r="C306">
        <v>20</v>
      </c>
      <c r="D306" t="s">
        <v>25</v>
      </c>
      <c r="E306" t="s">
        <v>19</v>
      </c>
      <c r="F306">
        <v>776</v>
      </c>
      <c r="G306">
        <v>2</v>
      </c>
      <c r="H306" s="2">
        <v>44694</v>
      </c>
      <c r="I306">
        <v>18</v>
      </c>
      <c r="J306" t="s">
        <v>16</v>
      </c>
      <c r="K306" t="s">
        <v>20</v>
      </c>
      <c r="L306">
        <f t="shared" si="8"/>
        <v>1552</v>
      </c>
      <c r="M306" t="str">
        <f t="shared" si="9"/>
        <v>Under 20</v>
      </c>
    </row>
    <row r="307" spans="1:13">
      <c r="A307" s="1">
        <v>306</v>
      </c>
      <c r="B307">
        <v>120</v>
      </c>
      <c r="C307">
        <v>6</v>
      </c>
      <c r="D307" t="s">
        <v>28</v>
      </c>
      <c r="E307" t="s">
        <v>23</v>
      </c>
      <c r="F307">
        <v>841</v>
      </c>
      <c r="G307">
        <v>1</v>
      </c>
      <c r="H307" s="2">
        <v>44919</v>
      </c>
      <c r="I307">
        <v>25</v>
      </c>
      <c r="J307" t="s">
        <v>16</v>
      </c>
      <c r="K307" t="s">
        <v>17</v>
      </c>
      <c r="L307">
        <f t="shared" si="8"/>
        <v>841</v>
      </c>
      <c r="M307" t="str">
        <f t="shared" si="9"/>
        <v>20-29</v>
      </c>
    </row>
    <row r="308" spans="1:13">
      <c r="A308" s="1">
        <v>307</v>
      </c>
      <c r="B308">
        <v>137</v>
      </c>
      <c r="C308">
        <v>12</v>
      </c>
      <c r="D308" t="s">
        <v>26</v>
      </c>
      <c r="E308" t="s">
        <v>19</v>
      </c>
      <c r="F308">
        <v>451</v>
      </c>
      <c r="G308">
        <v>4</v>
      </c>
      <c r="H308" s="2">
        <v>44820</v>
      </c>
      <c r="I308">
        <v>46</v>
      </c>
      <c r="J308" t="s">
        <v>16</v>
      </c>
      <c r="K308" t="s">
        <v>22</v>
      </c>
      <c r="L308">
        <f t="shared" si="8"/>
        <v>1804</v>
      </c>
      <c r="M308" t="str">
        <f t="shared" si="9"/>
        <v>40-49</v>
      </c>
    </row>
    <row r="309" spans="1:13">
      <c r="A309" s="1">
        <v>308</v>
      </c>
      <c r="B309">
        <v>169</v>
      </c>
      <c r="C309">
        <v>2</v>
      </c>
      <c r="D309" t="s">
        <v>11</v>
      </c>
      <c r="E309" t="s">
        <v>19</v>
      </c>
      <c r="F309">
        <v>319</v>
      </c>
      <c r="G309">
        <v>4</v>
      </c>
      <c r="H309" s="2">
        <v>44584</v>
      </c>
      <c r="I309">
        <v>56</v>
      </c>
      <c r="J309" t="s">
        <v>16</v>
      </c>
      <c r="K309" t="s">
        <v>17</v>
      </c>
      <c r="L309">
        <f t="shared" si="8"/>
        <v>1276</v>
      </c>
      <c r="M309" t="str">
        <f t="shared" si="9"/>
        <v>50-59</v>
      </c>
    </row>
    <row r="310" spans="1:13">
      <c r="A310" s="1">
        <v>309</v>
      </c>
      <c r="B310">
        <v>129</v>
      </c>
      <c r="C310">
        <v>7</v>
      </c>
      <c r="D310" t="s">
        <v>29</v>
      </c>
      <c r="E310" t="s">
        <v>19</v>
      </c>
      <c r="F310">
        <v>505</v>
      </c>
      <c r="G310">
        <v>4</v>
      </c>
      <c r="H310" s="2">
        <v>44614</v>
      </c>
      <c r="I310">
        <v>20</v>
      </c>
      <c r="J310" t="s">
        <v>16</v>
      </c>
      <c r="K310" t="s">
        <v>17</v>
      </c>
      <c r="L310">
        <f t="shared" si="8"/>
        <v>2020</v>
      </c>
      <c r="M310" t="str">
        <f t="shared" si="9"/>
        <v>20-29</v>
      </c>
    </row>
    <row r="311" spans="1:13">
      <c r="A311" s="1">
        <v>310</v>
      </c>
      <c r="B311">
        <v>130</v>
      </c>
      <c r="C311">
        <v>16</v>
      </c>
      <c r="D311" t="s">
        <v>18</v>
      </c>
      <c r="E311" t="s">
        <v>19</v>
      </c>
      <c r="F311">
        <v>477</v>
      </c>
      <c r="G311">
        <v>4</v>
      </c>
      <c r="H311" s="2">
        <v>44726</v>
      </c>
      <c r="I311">
        <v>49</v>
      </c>
      <c r="J311" t="s">
        <v>16</v>
      </c>
      <c r="K311" t="s">
        <v>24</v>
      </c>
      <c r="L311">
        <f t="shared" si="8"/>
        <v>1908</v>
      </c>
      <c r="M311" t="str">
        <f t="shared" si="9"/>
        <v>40-49</v>
      </c>
    </row>
    <row r="312" spans="1:13">
      <c r="A312" s="1">
        <v>311</v>
      </c>
      <c r="B312">
        <v>60</v>
      </c>
      <c r="C312">
        <v>3</v>
      </c>
      <c r="D312" t="s">
        <v>31</v>
      </c>
      <c r="E312" t="s">
        <v>19</v>
      </c>
      <c r="F312">
        <v>921</v>
      </c>
      <c r="G312">
        <v>4</v>
      </c>
      <c r="H312" s="2">
        <v>44763</v>
      </c>
      <c r="I312">
        <v>27</v>
      </c>
      <c r="J312" t="s">
        <v>13</v>
      </c>
      <c r="K312" t="s">
        <v>17</v>
      </c>
      <c r="L312">
        <f t="shared" si="8"/>
        <v>3684</v>
      </c>
      <c r="M312" t="str">
        <f t="shared" si="9"/>
        <v>20-29</v>
      </c>
    </row>
    <row r="313" spans="1:13">
      <c r="A313" s="1">
        <v>312</v>
      </c>
      <c r="B313">
        <v>48</v>
      </c>
      <c r="C313">
        <v>45</v>
      </c>
      <c r="D313" t="s">
        <v>21</v>
      </c>
      <c r="E313" t="s">
        <v>12</v>
      </c>
      <c r="F313">
        <v>439</v>
      </c>
      <c r="G313">
        <v>3</v>
      </c>
      <c r="H313" s="2">
        <v>44644</v>
      </c>
      <c r="I313">
        <v>27</v>
      </c>
      <c r="J313" t="s">
        <v>13</v>
      </c>
      <c r="K313" t="s">
        <v>24</v>
      </c>
      <c r="L313">
        <f t="shared" si="8"/>
        <v>1317</v>
      </c>
      <c r="M313" t="str">
        <f t="shared" si="9"/>
        <v>20-29</v>
      </c>
    </row>
    <row r="314" spans="1:13">
      <c r="A314" s="1">
        <v>313</v>
      </c>
      <c r="B314">
        <v>29</v>
      </c>
      <c r="C314">
        <v>3</v>
      </c>
      <c r="D314" t="s">
        <v>26</v>
      </c>
      <c r="E314" t="s">
        <v>23</v>
      </c>
      <c r="F314">
        <v>395</v>
      </c>
      <c r="G314">
        <v>3</v>
      </c>
      <c r="H314" s="2">
        <v>44706</v>
      </c>
      <c r="I314">
        <v>36</v>
      </c>
      <c r="J314" t="s">
        <v>16</v>
      </c>
      <c r="K314" t="s">
        <v>14</v>
      </c>
      <c r="L314">
        <f t="shared" si="8"/>
        <v>1185</v>
      </c>
      <c r="M314" t="str">
        <f t="shared" si="9"/>
        <v>30-39</v>
      </c>
    </row>
    <row r="315" spans="1:13">
      <c r="A315" s="1">
        <v>314</v>
      </c>
      <c r="B315">
        <v>97</v>
      </c>
      <c r="C315">
        <v>27</v>
      </c>
      <c r="D315" t="s">
        <v>27</v>
      </c>
      <c r="E315" t="s">
        <v>19</v>
      </c>
      <c r="F315">
        <v>774</v>
      </c>
      <c r="G315">
        <v>1</v>
      </c>
      <c r="H315" s="2">
        <v>44646</v>
      </c>
      <c r="I315">
        <v>63</v>
      </c>
      <c r="J315" t="s">
        <v>16</v>
      </c>
      <c r="K315" t="s">
        <v>20</v>
      </c>
      <c r="L315">
        <f t="shared" si="8"/>
        <v>774</v>
      </c>
      <c r="M315" t="str">
        <f t="shared" si="9"/>
        <v>Above 60</v>
      </c>
    </row>
    <row r="316" spans="1:13">
      <c r="A316" s="1">
        <v>315</v>
      </c>
      <c r="B316">
        <v>10</v>
      </c>
      <c r="C316">
        <v>50</v>
      </c>
      <c r="D316" t="s">
        <v>27</v>
      </c>
      <c r="E316" t="s">
        <v>19</v>
      </c>
      <c r="F316">
        <v>511</v>
      </c>
      <c r="G316">
        <v>4</v>
      </c>
      <c r="H316" s="2">
        <v>44639</v>
      </c>
      <c r="I316">
        <v>51</v>
      </c>
      <c r="J316" t="s">
        <v>13</v>
      </c>
      <c r="K316" t="s">
        <v>24</v>
      </c>
      <c r="L316">
        <f t="shared" si="8"/>
        <v>2044</v>
      </c>
      <c r="M316" t="str">
        <f t="shared" si="9"/>
        <v>50-59</v>
      </c>
    </row>
    <row r="317" spans="1:13">
      <c r="A317" s="1">
        <v>316</v>
      </c>
      <c r="B317">
        <v>58</v>
      </c>
      <c r="C317">
        <v>43</v>
      </c>
      <c r="D317" t="s">
        <v>31</v>
      </c>
      <c r="E317" t="s">
        <v>12</v>
      </c>
      <c r="F317">
        <v>301</v>
      </c>
      <c r="G317">
        <v>1</v>
      </c>
      <c r="H317" s="2">
        <v>44562</v>
      </c>
      <c r="I317">
        <v>50</v>
      </c>
      <c r="J317" t="s">
        <v>13</v>
      </c>
      <c r="K317" t="s">
        <v>22</v>
      </c>
      <c r="L317">
        <f t="shared" si="8"/>
        <v>301</v>
      </c>
      <c r="M317" t="str">
        <f t="shared" si="9"/>
        <v>50-59</v>
      </c>
    </row>
    <row r="318" spans="1:13">
      <c r="A318" s="1">
        <v>317</v>
      </c>
      <c r="B318">
        <v>188</v>
      </c>
      <c r="C318">
        <v>40</v>
      </c>
      <c r="D318" t="s">
        <v>29</v>
      </c>
      <c r="E318" t="s">
        <v>23</v>
      </c>
      <c r="F318">
        <v>320</v>
      </c>
      <c r="G318">
        <v>4</v>
      </c>
      <c r="H318" s="2">
        <v>44612</v>
      </c>
      <c r="I318">
        <v>40</v>
      </c>
      <c r="J318" t="s">
        <v>16</v>
      </c>
      <c r="K318" t="s">
        <v>14</v>
      </c>
      <c r="L318">
        <f t="shared" si="8"/>
        <v>1280</v>
      </c>
      <c r="M318" t="str">
        <f t="shared" si="9"/>
        <v>40-49</v>
      </c>
    </row>
    <row r="319" spans="1:13">
      <c r="A319" s="1">
        <v>318</v>
      </c>
      <c r="B319">
        <v>21</v>
      </c>
      <c r="C319">
        <v>38</v>
      </c>
      <c r="D319" t="s">
        <v>21</v>
      </c>
      <c r="E319" t="s">
        <v>12</v>
      </c>
      <c r="F319">
        <v>971</v>
      </c>
      <c r="G319">
        <v>4</v>
      </c>
      <c r="H319" s="2">
        <v>44734</v>
      </c>
      <c r="I319">
        <v>45</v>
      </c>
      <c r="J319" t="s">
        <v>16</v>
      </c>
      <c r="K319" t="s">
        <v>24</v>
      </c>
      <c r="L319">
        <f t="shared" si="8"/>
        <v>3884</v>
      </c>
      <c r="M319" t="str">
        <f t="shared" si="9"/>
        <v>40-49</v>
      </c>
    </row>
    <row r="320" spans="1:13">
      <c r="A320" s="1">
        <v>319</v>
      </c>
      <c r="B320">
        <v>28</v>
      </c>
      <c r="C320">
        <v>33</v>
      </c>
      <c r="D320" t="s">
        <v>25</v>
      </c>
      <c r="E320" t="s">
        <v>12</v>
      </c>
      <c r="F320">
        <v>774</v>
      </c>
      <c r="G320">
        <v>3</v>
      </c>
      <c r="H320" s="2">
        <v>44766</v>
      </c>
      <c r="I320">
        <v>49</v>
      </c>
      <c r="J320" t="s">
        <v>16</v>
      </c>
      <c r="K320" t="s">
        <v>24</v>
      </c>
      <c r="L320">
        <f t="shared" si="8"/>
        <v>2322</v>
      </c>
      <c r="M320" t="str">
        <f t="shared" si="9"/>
        <v>40-49</v>
      </c>
    </row>
    <row r="321" spans="1:13">
      <c r="A321" s="1">
        <v>320</v>
      </c>
      <c r="B321">
        <v>34</v>
      </c>
      <c r="C321">
        <v>28</v>
      </c>
      <c r="D321" t="s">
        <v>31</v>
      </c>
      <c r="E321" t="s">
        <v>12</v>
      </c>
      <c r="F321">
        <v>505</v>
      </c>
      <c r="G321">
        <v>3</v>
      </c>
      <c r="H321" s="2">
        <v>44821</v>
      </c>
      <c r="I321">
        <v>24</v>
      </c>
      <c r="J321" t="s">
        <v>16</v>
      </c>
      <c r="K321" t="s">
        <v>20</v>
      </c>
      <c r="L321">
        <f t="shared" si="8"/>
        <v>1515</v>
      </c>
      <c r="M321" t="str">
        <f t="shared" si="9"/>
        <v>20-29</v>
      </c>
    </row>
    <row r="322" spans="1:13">
      <c r="A322" s="1">
        <v>321</v>
      </c>
      <c r="B322">
        <v>8</v>
      </c>
      <c r="C322">
        <v>1</v>
      </c>
      <c r="D322" t="s">
        <v>29</v>
      </c>
      <c r="E322" t="s">
        <v>19</v>
      </c>
      <c r="F322">
        <v>130</v>
      </c>
      <c r="G322">
        <v>2</v>
      </c>
      <c r="H322" s="2">
        <v>44849</v>
      </c>
      <c r="I322">
        <v>46</v>
      </c>
      <c r="J322" t="s">
        <v>13</v>
      </c>
      <c r="K322" t="s">
        <v>22</v>
      </c>
      <c r="L322">
        <f t="shared" si="8"/>
        <v>260</v>
      </c>
      <c r="M322" t="str">
        <f t="shared" si="9"/>
        <v>40-49</v>
      </c>
    </row>
    <row r="323" spans="1:13">
      <c r="A323" s="1">
        <v>322</v>
      </c>
      <c r="B323">
        <v>187</v>
      </c>
      <c r="C323">
        <v>8</v>
      </c>
      <c r="D323" t="s">
        <v>21</v>
      </c>
      <c r="E323" t="s">
        <v>12</v>
      </c>
      <c r="F323">
        <v>451</v>
      </c>
      <c r="G323">
        <v>3</v>
      </c>
      <c r="H323" s="2">
        <v>44595</v>
      </c>
      <c r="I323">
        <v>25</v>
      </c>
      <c r="J323" t="s">
        <v>16</v>
      </c>
      <c r="K323" t="s">
        <v>30</v>
      </c>
      <c r="L323">
        <f t="shared" ref="L323:L386" si="10">F323*G323</f>
        <v>1353</v>
      </c>
      <c r="M323" t="str">
        <f t="shared" ref="M323:M386" si="11">IF(I323&lt;20,"Under 20",IF(I323&lt;30,"20-29",IF(I323&lt;40,"30-39",IF(I323&lt;50,"40-49",IF(I323&lt;60,"50-59","Above 60")))))</f>
        <v>20-29</v>
      </c>
    </row>
    <row r="324" spans="1:13">
      <c r="A324" s="1">
        <v>323</v>
      </c>
      <c r="B324">
        <v>200</v>
      </c>
      <c r="C324">
        <v>37</v>
      </c>
      <c r="D324" t="s">
        <v>26</v>
      </c>
      <c r="E324" t="s">
        <v>19</v>
      </c>
      <c r="F324">
        <v>921</v>
      </c>
      <c r="G324">
        <v>2</v>
      </c>
      <c r="H324" s="2">
        <v>44909</v>
      </c>
      <c r="I324">
        <v>18</v>
      </c>
      <c r="J324" t="s">
        <v>16</v>
      </c>
      <c r="K324" t="s">
        <v>30</v>
      </c>
      <c r="L324">
        <f t="shared" si="10"/>
        <v>1842</v>
      </c>
      <c r="M324" t="str">
        <f t="shared" si="11"/>
        <v>Under 20</v>
      </c>
    </row>
    <row r="325" spans="1:13">
      <c r="A325" s="1">
        <v>324</v>
      </c>
      <c r="B325">
        <v>177</v>
      </c>
      <c r="C325">
        <v>32</v>
      </c>
      <c r="D325" t="s">
        <v>11</v>
      </c>
      <c r="E325" t="s">
        <v>19</v>
      </c>
      <c r="F325">
        <v>912</v>
      </c>
      <c r="G325">
        <v>2</v>
      </c>
      <c r="H325" s="2">
        <v>44656</v>
      </c>
      <c r="I325">
        <v>20</v>
      </c>
      <c r="J325" t="s">
        <v>16</v>
      </c>
      <c r="K325" t="s">
        <v>24</v>
      </c>
      <c r="L325">
        <f t="shared" si="10"/>
        <v>1824</v>
      </c>
      <c r="M325" t="str">
        <f t="shared" si="11"/>
        <v>20-29</v>
      </c>
    </row>
    <row r="326" spans="1:13">
      <c r="A326" s="1">
        <v>325</v>
      </c>
      <c r="B326">
        <v>79</v>
      </c>
      <c r="C326">
        <v>48</v>
      </c>
      <c r="D326" t="s">
        <v>25</v>
      </c>
      <c r="E326" t="s">
        <v>12</v>
      </c>
      <c r="F326">
        <v>615</v>
      </c>
      <c r="G326">
        <v>2</v>
      </c>
      <c r="H326" s="2">
        <v>44633</v>
      </c>
      <c r="I326">
        <v>41</v>
      </c>
      <c r="J326" t="s">
        <v>16</v>
      </c>
      <c r="K326" t="s">
        <v>17</v>
      </c>
      <c r="L326">
        <f t="shared" si="10"/>
        <v>1230</v>
      </c>
      <c r="M326" t="str">
        <f t="shared" si="11"/>
        <v>40-49</v>
      </c>
    </row>
    <row r="327" spans="1:13">
      <c r="A327" s="1">
        <v>326</v>
      </c>
      <c r="B327">
        <v>145</v>
      </c>
      <c r="C327">
        <v>43</v>
      </c>
      <c r="D327" t="s">
        <v>18</v>
      </c>
      <c r="E327" t="s">
        <v>12</v>
      </c>
      <c r="F327">
        <v>825</v>
      </c>
      <c r="G327">
        <v>2</v>
      </c>
      <c r="H327" s="2">
        <v>44600</v>
      </c>
      <c r="I327">
        <v>40</v>
      </c>
      <c r="J327" t="s">
        <v>13</v>
      </c>
      <c r="K327" t="s">
        <v>22</v>
      </c>
      <c r="L327">
        <f t="shared" si="10"/>
        <v>1650</v>
      </c>
      <c r="M327" t="str">
        <f t="shared" si="11"/>
        <v>40-49</v>
      </c>
    </row>
    <row r="328" spans="1:13">
      <c r="A328" s="1">
        <v>327</v>
      </c>
      <c r="B328">
        <v>188</v>
      </c>
      <c r="C328">
        <v>37</v>
      </c>
      <c r="D328" t="s">
        <v>27</v>
      </c>
      <c r="E328" t="s">
        <v>12</v>
      </c>
      <c r="F328">
        <v>84</v>
      </c>
      <c r="G328">
        <v>2</v>
      </c>
      <c r="H328" s="2">
        <v>44715</v>
      </c>
      <c r="I328">
        <v>25</v>
      </c>
      <c r="J328" t="s">
        <v>13</v>
      </c>
      <c r="K328" t="s">
        <v>14</v>
      </c>
      <c r="L328">
        <f t="shared" si="10"/>
        <v>168</v>
      </c>
      <c r="M328" t="str">
        <f t="shared" si="11"/>
        <v>20-29</v>
      </c>
    </row>
    <row r="329" spans="1:13">
      <c r="A329" s="1">
        <v>328</v>
      </c>
      <c r="B329">
        <v>87</v>
      </c>
      <c r="C329">
        <v>4</v>
      </c>
      <c r="D329" t="s">
        <v>15</v>
      </c>
      <c r="E329" t="s">
        <v>19</v>
      </c>
      <c r="F329">
        <v>947</v>
      </c>
      <c r="G329">
        <v>1</v>
      </c>
      <c r="H329" s="2">
        <v>44811</v>
      </c>
      <c r="I329">
        <v>64</v>
      </c>
      <c r="J329" t="s">
        <v>13</v>
      </c>
      <c r="K329" t="s">
        <v>17</v>
      </c>
      <c r="L329">
        <f t="shared" si="10"/>
        <v>947</v>
      </c>
      <c r="M329" t="str">
        <f t="shared" si="11"/>
        <v>Above 60</v>
      </c>
    </row>
    <row r="330" spans="1:13">
      <c r="A330" s="1">
        <v>329</v>
      </c>
      <c r="B330">
        <v>88</v>
      </c>
      <c r="C330">
        <v>30</v>
      </c>
      <c r="D330" t="s">
        <v>26</v>
      </c>
      <c r="E330" t="s">
        <v>23</v>
      </c>
      <c r="F330">
        <v>615</v>
      </c>
      <c r="G330">
        <v>3</v>
      </c>
      <c r="H330" s="2">
        <v>44723</v>
      </c>
      <c r="I330">
        <v>54</v>
      </c>
      <c r="J330" t="s">
        <v>16</v>
      </c>
      <c r="K330" t="s">
        <v>17</v>
      </c>
      <c r="L330">
        <f t="shared" si="10"/>
        <v>1845</v>
      </c>
      <c r="M330" t="str">
        <f t="shared" si="11"/>
        <v>50-59</v>
      </c>
    </row>
    <row r="331" spans="1:13">
      <c r="A331" s="1">
        <v>330</v>
      </c>
      <c r="B331">
        <v>173</v>
      </c>
      <c r="C331">
        <v>6</v>
      </c>
      <c r="D331" t="s">
        <v>27</v>
      </c>
      <c r="E331" t="s">
        <v>19</v>
      </c>
      <c r="F331">
        <v>416</v>
      </c>
      <c r="G331">
        <v>2</v>
      </c>
      <c r="H331" s="2">
        <v>44679</v>
      </c>
      <c r="I331">
        <v>20</v>
      </c>
      <c r="J331" t="s">
        <v>16</v>
      </c>
      <c r="K331" t="s">
        <v>22</v>
      </c>
      <c r="L331">
        <f t="shared" si="10"/>
        <v>832</v>
      </c>
      <c r="M331" t="str">
        <f t="shared" si="11"/>
        <v>20-29</v>
      </c>
    </row>
    <row r="332" spans="1:13">
      <c r="A332" s="1">
        <v>331</v>
      </c>
      <c r="B332">
        <v>69</v>
      </c>
      <c r="C332">
        <v>46</v>
      </c>
      <c r="D332" t="s">
        <v>28</v>
      </c>
      <c r="E332" t="s">
        <v>12</v>
      </c>
      <c r="F332">
        <v>774</v>
      </c>
      <c r="G332">
        <v>4</v>
      </c>
      <c r="H332" s="2">
        <v>44820</v>
      </c>
      <c r="I332">
        <v>50</v>
      </c>
      <c r="J332" t="s">
        <v>13</v>
      </c>
      <c r="K332" t="s">
        <v>24</v>
      </c>
      <c r="L332">
        <f t="shared" si="10"/>
        <v>3096</v>
      </c>
      <c r="M332" t="str">
        <f t="shared" si="11"/>
        <v>50-59</v>
      </c>
    </row>
    <row r="333" spans="1:13">
      <c r="A333" s="1">
        <v>332</v>
      </c>
      <c r="B333">
        <v>160</v>
      </c>
      <c r="C333">
        <v>19</v>
      </c>
      <c r="D333" t="s">
        <v>15</v>
      </c>
      <c r="E333" t="s">
        <v>23</v>
      </c>
      <c r="F333">
        <v>821</v>
      </c>
      <c r="G333">
        <v>3</v>
      </c>
      <c r="H333" s="2">
        <v>44867</v>
      </c>
      <c r="I333">
        <v>45</v>
      </c>
      <c r="J333" t="s">
        <v>16</v>
      </c>
      <c r="K333" t="s">
        <v>24</v>
      </c>
      <c r="L333">
        <f t="shared" si="10"/>
        <v>2463</v>
      </c>
      <c r="M333" t="str">
        <f t="shared" si="11"/>
        <v>40-49</v>
      </c>
    </row>
    <row r="334" spans="1:13">
      <c r="A334" s="1">
        <v>333</v>
      </c>
      <c r="B334">
        <v>172</v>
      </c>
      <c r="C334">
        <v>32</v>
      </c>
      <c r="D334" t="s">
        <v>27</v>
      </c>
      <c r="E334" t="s">
        <v>19</v>
      </c>
      <c r="F334">
        <v>947</v>
      </c>
      <c r="G334">
        <v>3</v>
      </c>
      <c r="H334" s="2">
        <v>44829</v>
      </c>
      <c r="I334">
        <v>64</v>
      </c>
      <c r="J334" t="s">
        <v>16</v>
      </c>
      <c r="K334" t="s">
        <v>24</v>
      </c>
      <c r="L334">
        <f t="shared" si="10"/>
        <v>2841</v>
      </c>
      <c r="M334" t="str">
        <f t="shared" si="11"/>
        <v>Above 60</v>
      </c>
    </row>
    <row r="335" spans="1:13">
      <c r="A335" s="1">
        <v>334</v>
      </c>
      <c r="B335">
        <v>193</v>
      </c>
      <c r="C335">
        <v>9</v>
      </c>
      <c r="D335" t="s">
        <v>29</v>
      </c>
      <c r="E335" t="s">
        <v>19</v>
      </c>
      <c r="F335">
        <v>451</v>
      </c>
      <c r="G335">
        <v>2</v>
      </c>
      <c r="H335" s="2">
        <v>44615</v>
      </c>
      <c r="I335">
        <v>25</v>
      </c>
      <c r="J335" t="s">
        <v>13</v>
      </c>
      <c r="K335" t="s">
        <v>24</v>
      </c>
      <c r="L335">
        <f t="shared" si="10"/>
        <v>902</v>
      </c>
      <c r="M335" t="str">
        <f t="shared" si="11"/>
        <v>20-29</v>
      </c>
    </row>
    <row r="336" spans="1:13">
      <c r="A336" s="1">
        <v>335</v>
      </c>
      <c r="B336">
        <v>87</v>
      </c>
      <c r="C336">
        <v>12</v>
      </c>
      <c r="D336" t="s">
        <v>25</v>
      </c>
      <c r="E336" t="s">
        <v>12</v>
      </c>
      <c r="F336">
        <v>130</v>
      </c>
      <c r="G336">
        <v>1</v>
      </c>
      <c r="H336" s="2">
        <v>44797</v>
      </c>
      <c r="I336">
        <v>51</v>
      </c>
      <c r="J336" t="s">
        <v>13</v>
      </c>
      <c r="K336" t="s">
        <v>30</v>
      </c>
      <c r="L336">
        <f t="shared" si="10"/>
        <v>130</v>
      </c>
      <c r="M336" t="str">
        <f t="shared" si="11"/>
        <v>50-59</v>
      </c>
    </row>
    <row r="337" spans="1:13">
      <c r="A337" s="1">
        <v>336</v>
      </c>
      <c r="B337">
        <v>101</v>
      </c>
      <c r="C337">
        <v>11</v>
      </c>
      <c r="D337" t="s">
        <v>27</v>
      </c>
      <c r="E337" t="s">
        <v>19</v>
      </c>
      <c r="F337">
        <v>826</v>
      </c>
      <c r="G337">
        <v>2</v>
      </c>
      <c r="H337" s="2">
        <v>44783</v>
      </c>
      <c r="I337">
        <v>52</v>
      </c>
      <c r="J337" t="s">
        <v>13</v>
      </c>
      <c r="K337" t="s">
        <v>24</v>
      </c>
      <c r="L337">
        <f t="shared" si="10"/>
        <v>1652</v>
      </c>
      <c r="M337" t="str">
        <f t="shared" si="11"/>
        <v>50-59</v>
      </c>
    </row>
    <row r="338" spans="1:13">
      <c r="A338" s="1">
        <v>337</v>
      </c>
      <c r="B338">
        <v>8</v>
      </c>
      <c r="C338">
        <v>46</v>
      </c>
      <c r="D338" t="s">
        <v>18</v>
      </c>
      <c r="E338" t="s">
        <v>19</v>
      </c>
      <c r="F338">
        <v>614</v>
      </c>
      <c r="G338">
        <v>1</v>
      </c>
      <c r="H338" s="2">
        <v>44812</v>
      </c>
      <c r="I338">
        <v>49</v>
      </c>
      <c r="J338" t="s">
        <v>13</v>
      </c>
      <c r="K338" t="s">
        <v>30</v>
      </c>
      <c r="L338">
        <f t="shared" si="10"/>
        <v>614</v>
      </c>
      <c r="M338" t="str">
        <f t="shared" si="11"/>
        <v>40-49</v>
      </c>
    </row>
    <row r="339" spans="1:13">
      <c r="A339" s="1">
        <v>338</v>
      </c>
      <c r="B339">
        <v>77</v>
      </c>
      <c r="C339">
        <v>16</v>
      </c>
      <c r="D339" t="s">
        <v>11</v>
      </c>
      <c r="E339" t="s">
        <v>23</v>
      </c>
      <c r="F339">
        <v>255</v>
      </c>
      <c r="G339">
        <v>4</v>
      </c>
      <c r="H339" s="2">
        <v>44874</v>
      </c>
      <c r="I339">
        <v>41</v>
      </c>
      <c r="J339" t="s">
        <v>16</v>
      </c>
      <c r="K339" t="s">
        <v>30</v>
      </c>
      <c r="L339">
        <f t="shared" si="10"/>
        <v>1020</v>
      </c>
      <c r="M339" t="str">
        <f t="shared" si="11"/>
        <v>40-49</v>
      </c>
    </row>
    <row r="340" spans="1:13">
      <c r="A340" s="1">
        <v>339</v>
      </c>
      <c r="B340">
        <v>200</v>
      </c>
      <c r="C340">
        <v>1</v>
      </c>
      <c r="D340" t="s">
        <v>29</v>
      </c>
      <c r="E340" t="s">
        <v>19</v>
      </c>
      <c r="F340">
        <v>511</v>
      </c>
      <c r="G340">
        <v>3</v>
      </c>
      <c r="H340" s="2">
        <v>44673</v>
      </c>
      <c r="I340">
        <v>31</v>
      </c>
      <c r="J340" t="s">
        <v>16</v>
      </c>
      <c r="K340" t="s">
        <v>24</v>
      </c>
      <c r="L340">
        <f t="shared" si="10"/>
        <v>1533</v>
      </c>
      <c r="M340" t="str">
        <f t="shared" si="11"/>
        <v>30-39</v>
      </c>
    </row>
    <row r="341" spans="1:13">
      <c r="A341" s="1">
        <v>340</v>
      </c>
      <c r="B341">
        <v>87</v>
      </c>
      <c r="C341">
        <v>45</v>
      </c>
      <c r="D341" t="s">
        <v>26</v>
      </c>
      <c r="E341" t="s">
        <v>23</v>
      </c>
      <c r="F341">
        <v>971</v>
      </c>
      <c r="G341">
        <v>4</v>
      </c>
      <c r="H341" s="2">
        <v>44816</v>
      </c>
      <c r="I341">
        <v>49</v>
      </c>
      <c r="J341" t="s">
        <v>13</v>
      </c>
      <c r="K341" t="s">
        <v>20</v>
      </c>
      <c r="L341">
        <f t="shared" si="10"/>
        <v>3884</v>
      </c>
      <c r="M341" t="str">
        <f t="shared" si="11"/>
        <v>40-49</v>
      </c>
    </row>
    <row r="342" spans="1:13">
      <c r="A342" s="1">
        <v>341</v>
      </c>
      <c r="B342">
        <v>43</v>
      </c>
      <c r="C342">
        <v>21</v>
      </c>
      <c r="D342" t="s">
        <v>26</v>
      </c>
      <c r="E342" t="s">
        <v>23</v>
      </c>
      <c r="F342">
        <v>826</v>
      </c>
      <c r="G342">
        <v>1</v>
      </c>
      <c r="H342" s="2">
        <v>44864</v>
      </c>
      <c r="I342">
        <v>63</v>
      </c>
      <c r="J342" t="s">
        <v>16</v>
      </c>
      <c r="K342" t="s">
        <v>14</v>
      </c>
      <c r="L342">
        <f t="shared" si="10"/>
        <v>826</v>
      </c>
      <c r="M342" t="str">
        <f t="shared" si="11"/>
        <v>Above 60</v>
      </c>
    </row>
    <row r="343" spans="1:13">
      <c r="A343" s="1">
        <v>342</v>
      </c>
      <c r="B343">
        <v>129</v>
      </c>
      <c r="C343">
        <v>30</v>
      </c>
      <c r="D343" t="s">
        <v>26</v>
      </c>
      <c r="E343" t="s">
        <v>19</v>
      </c>
      <c r="F343">
        <v>511</v>
      </c>
      <c r="G343">
        <v>1</v>
      </c>
      <c r="H343" s="2">
        <v>44768</v>
      </c>
      <c r="I343">
        <v>60</v>
      </c>
      <c r="J343" t="s">
        <v>13</v>
      </c>
      <c r="K343" t="s">
        <v>17</v>
      </c>
      <c r="L343">
        <f t="shared" si="10"/>
        <v>511</v>
      </c>
      <c r="M343" t="str">
        <f t="shared" si="11"/>
        <v>Above 60</v>
      </c>
    </row>
    <row r="344" spans="1:13">
      <c r="A344" s="1">
        <v>343</v>
      </c>
      <c r="B344">
        <v>109</v>
      </c>
      <c r="C344">
        <v>13</v>
      </c>
      <c r="D344" t="s">
        <v>26</v>
      </c>
      <c r="E344" t="s">
        <v>19</v>
      </c>
      <c r="F344">
        <v>511</v>
      </c>
      <c r="G344">
        <v>4</v>
      </c>
      <c r="H344" s="2">
        <v>44790</v>
      </c>
      <c r="I344">
        <v>33</v>
      </c>
      <c r="J344" t="s">
        <v>13</v>
      </c>
      <c r="K344" t="s">
        <v>30</v>
      </c>
      <c r="L344">
        <f t="shared" si="10"/>
        <v>2044</v>
      </c>
      <c r="M344" t="str">
        <f t="shared" si="11"/>
        <v>30-39</v>
      </c>
    </row>
    <row r="345" spans="1:13">
      <c r="A345" s="1">
        <v>344</v>
      </c>
      <c r="B345">
        <v>179</v>
      </c>
      <c r="C345">
        <v>34</v>
      </c>
      <c r="D345" t="s">
        <v>11</v>
      </c>
      <c r="E345" t="s">
        <v>19</v>
      </c>
      <c r="F345">
        <v>439</v>
      </c>
      <c r="G345">
        <v>1</v>
      </c>
      <c r="H345" s="2">
        <v>44902</v>
      </c>
      <c r="I345">
        <v>21</v>
      </c>
      <c r="J345" t="s">
        <v>16</v>
      </c>
      <c r="K345" t="s">
        <v>22</v>
      </c>
      <c r="L345">
        <f t="shared" si="10"/>
        <v>439</v>
      </c>
      <c r="M345" t="str">
        <f t="shared" si="11"/>
        <v>20-29</v>
      </c>
    </row>
    <row r="346" spans="1:13">
      <c r="A346" s="1">
        <v>345</v>
      </c>
      <c r="B346">
        <v>152</v>
      </c>
      <c r="C346">
        <v>4</v>
      </c>
      <c r="D346" t="s">
        <v>27</v>
      </c>
      <c r="E346" t="s">
        <v>23</v>
      </c>
      <c r="F346">
        <v>102</v>
      </c>
      <c r="G346">
        <v>4</v>
      </c>
      <c r="H346" s="2">
        <v>44627</v>
      </c>
      <c r="I346">
        <v>54</v>
      </c>
      <c r="J346" t="s">
        <v>13</v>
      </c>
      <c r="K346" t="s">
        <v>22</v>
      </c>
      <c r="L346">
        <f t="shared" si="10"/>
        <v>408</v>
      </c>
      <c r="M346" t="str">
        <f t="shared" si="11"/>
        <v>50-59</v>
      </c>
    </row>
    <row r="347" spans="1:13">
      <c r="A347" s="1">
        <v>346</v>
      </c>
      <c r="B347">
        <v>152</v>
      </c>
      <c r="C347">
        <v>28</v>
      </c>
      <c r="D347" t="s">
        <v>21</v>
      </c>
      <c r="E347" t="s">
        <v>12</v>
      </c>
      <c r="F347">
        <v>779</v>
      </c>
      <c r="G347">
        <v>3</v>
      </c>
      <c r="H347" s="2">
        <v>44636</v>
      </c>
      <c r="I347">
        <v>38</v>
      </c>
      <c r="J347" t="s">
        <v>16</v>
      </c>
      <c r="K347" t="s">
        <v>14</v>
      </c>
      <c r="L347">
        <f t="shared" si="10"/>
        <v>2337</v>
      </c>
      <c r="M347" t="str">
        <f t="shared" si="11"/>
        <v>30-39</v>
      </c>
    </row>
    <row r="348" spans="1:13">
      <c r="A348" s="1">
        <v>347</v>
      </c>
      <c r="B348">
        <v>17</v>
      </c>
      <c r="C348">
        <v>38</v>
      </c>
      <c r="D348" t="s">
        <v>27</v>
      </c>
      <c r="E348" t="s">
        <v>12</v>
      </c>
      <c r="F348">
        <v>389</v>
      </c>
      <c r="G348">
        <v>4</v>
      </c>
      <c r="H348" s="2">
        <v>44664</v>
      </c>
      <c r="I348">
        <v>31</v>
      </c>
      <c r="J348" t="s">
        <v>16</v>
      </c>
      <c r="K348" t="s">
        <v>22</v>
      </c>
      <c r="L348">
        <f t="shared" si="10"/>
        <v>1556</v>
      </c>
      <c r="M348" t="str">
        <f t="shared" si="11"/>
        <v>30-39</v>
      </c>
    </row>
    <row r="349" spans="1:13">
      <c r="A349" s="1">
        <v>348</v>
      </c>
      <c r="B349">
        <v>133</v>
      </c>
      <c r="C349">
        <v>31</v>
      </c>
      <c r="D349" t="s">
        <v>28</v>
      </c>
      <c r="E349" t="s">
        <v>12</v>
      </c>
      <c r="F349">
        <v>841</v>
      </c>
      <c r="G349">
        <v>3</v>
      </c>
      <c r="H349" s="2">
        <v>44753</v>
      </c>
      <c r="I349">
        <v>48</v>
      </c>
      <c r="J349" t="s">
        <v>16</v>
      </c>
      <c r="K349" t="s">
        <v>20</v>
      </c>
      <c r="L349">
        <f t="shared" si="10"/>
        <v>2523</v>
      </c>
      <c r="M349" t="str">
        <f t="shared" si="11"/>
        <v>40-49</v>
      </c>
    </row>
    <row r="350" spans="1:13">
      <c r="A350" s="1">
        <v>349</v>
      </c>
      <c r="B350">
        <v>148</v>
      </c>
      <c r="C350">
        <v>27</v>
      </c>
      <c r="D350" t="s">
        <v>25</v>
      </c>
      <c r="E350" t="s">
        <v>19</v>
      </c>
      <c r="F350">
        <v>558</v>
      </c>
      <c r="G350">
        <v>4</v>
      </c>
      <c r="H350" s="2">
        <v>44813</v>
      </c>
      <c r="I350">
        <v>35</v>
      </c>
      <c r="J350" t="s">
        <v>16</v>
      </c>
      <c r="K350" t="s">
        <v>22</v>
      </c>
      <c r="L350">
        <f t="shared" si="10"/>
        <v>2232</v>
      </c>
      <c r="M350" t="str">
        <f t="shared" si="11"/>
        <v>30-39</v>
      </c>
    </row>
    <row r="351" spans="1:13">
      <c r="A351" s="1">
        <v>350</v>
      </c>
      <c r="B351">
        <v>21</v>
      </c>
      <c r="C351">
        <v>5</v>
      </c>
      <c r="D351" t="s">
        <v>15</v>
      </c>
      <c r="E351" t="s">
        <v>23</v>
      </c>
      <c r="F351">
        <v>451</v>
      </c>
      <c r="G351">
        <v>1</v>
      </c>
      <c r="H351" s="2">
        <v>44787</v>
      </c>
      <c r="I351">
        <v>24</v>
      </c>
      <c r="J351" t="s">
        <v>13</v>
      </c>
      <c r="K351" t="s">
        <v>17</v>
      </c>
      <c r="L351">
        <f t="shared" si="10"/>
        <v>451</v>
      </c>
      <c r="M351" t="str">
        <f t="shared" si="11"/>
        <v>20-29</v>
      </c>
    </row>
    <row r="352" spans="1:13">
      <c r="A352" s="1">
        <v>351</v>
      </c>
      <c r="B352">
        <v>58</v>
      </c>
      <c r="C352">
        <v>25</v>
      </c>
      <c r="D352" t="s">
        <v>21</v>
      </c>
      <c r="E352" t="s">
        <v>23</v>
      </c>
      <c r="F352">
        <v>439</v>
      </c>
      <c r="G352">
        <v>4</v>
      </c>
      <c r="H352" s="2">
        <v>44855</v>
      </c>
      <c r="I352">
        <v>27</v>
      </c>
      <c r="J352" t="s">
        <v>16</v>
      </c>
      <c r="K352" t="s">
        <v>17</v>
      </c>
      <c r="L352">
        <f t="shared" si="10"/>
        <v>1756</v>
      </c>
      <c r="M352" t="str">
        <f t="shared" si="11"/>
        <v>20-29</v>
      </c>
    </row>
    <row r="353" spans="1:13">
      <c r="A353" s="1">
        <v>352</v>
      </c>
      <c r="B353">
        <v>159</v>
      </c>
      <c r="C353">
        <v>3</v>
      </c>
      <c r="D353" t="s">
        <v>21</v>
      </c>
      <c r="E353" t="s">
        <v>12</v>
      </c>
      <c r="F353">
        <v>971</v>
      </c>
      <c r="G353">
        <v>1</v>
      </c>
      <c r="H353" s="2">
        <v>44867</v>
      </c>
      <c r="I353">
        <v>24</v>
      </c>
      <c r="J353" t="s">
        <v>13</v>
      </c>
      <c r="K353" t="s">
        <v>30</v>
      </c>
      <c r="L353">
        <f t="shared" si="10"/>
        <v>971</v>
      </c>
      <c r="M353" t="str">
        <f t="shared" si="11"/>
        <v>20-29</v>
      </c>
    </row>
    <row r="354" spans="1:13">
      <c r="A354" s="1">
        <v>353</v>
      </c>
      <c r="B354">
        <v>110</v>
      </c>
      <c r="C354">
        <v>33</v>
      </c>
      <c r="D354" t="s">
        <v>27</v>
      </c>
      <c r="E354" t="s">
        <v>19</v>
      </c>
      <c r="F354">
        <v>416</v>
      </c>
      <c r="G354">
        <v>4</v>
      </c>
      <c r="H354" s="2">
        <v>44659</v>
      </c>
      <c r="I354">
        <v>50</v>
      </c>
      <c r="J354" t="s">
        <v>13</v>
      </c>
      <c r="K354" t="s">
        <v>24</v>
      </c>
      <c r="L354">
        <f t="shared" si="10"/>
        <v>1664</v>
      </c>
      <c r="M354" t="str">
        <f t="shared" si="11"/>
        <v>50-59</v>
      </c>
    </row>
    <row r="355" spans="1:13">
      <c r="A355" s="1">
        <v>354</v>
      </c>
      <c r="B355">
        <v>139</v>
      </c>
      <c r="C355">
        <v>4</v>
      </c>
      <c r="D355" t="s">
        <v>21</v>
      </c>
      <c r="E355" t="s">
        <v>23</v>
      </c>
      <c r="F355">
        <v>614</v>
      </c>
      <c r="G355">
        <v>4</v>
      </c>
      <c r="H355" s="2">
        <v>44899</v>
      </c>
      <c r="I355">
        <v>40</v>
      </c>
      <c r="J355" t="s">
        <v>13</v>
      </c>
      <c r="K355" t="s">
        <v>20</v>
      </c>
      <c r="L355">
        <f t="shared" si="10"/>
        <v>2456</v>
      </c>
      <c r="M355" t="str">
        <f t="shared" si="11"/>
        <v>40-49</v>
      </c>
    </row>
    <row r="356" spans="1:13">
      <c r="A356" s="1">
        <v>355</v>
      </c>
      <c r="B356">
        <v>180</v>
      </c>
      <c r="C356">
        <v>25</v>
      </c>
      <c r="D356" t="s">
        <v>31</v>
      </c>
      <c r="E356" t="s">
        <v>12</v>
      </c>
      <c r="F356">
        <v>798</v>
      </c>
      <c r="G356">
        <v>2</v>
      </c>
      <c r="H356" s="2">
        <v>44847</v>
      </c>
      <c r="I356">
        <v>38</v>
      </c>
      <c r="J356" t="s">
        <v>13</v>
      </c>
      <c r="K356" t="s">
        <v>30</v>
      </c>
      <c r="L356">
        <f t="shared" si="10"/>
        <v>1596</v>
      </c>
      <c r="M356" t="str">
        <f t="shared" si="11"/>
        <v>30-39</v>
      </c>
    </row>
    <row r="357" spans="1:13">
      <c r="A357" s="1">
        <v>356</v>
      </c>
      <c r="B357">
        <v>143</v>
      </c>
      <c r="C357">
        <v>20</v>
      </c>
      <c r="D357" t="s">
        <v>31</v>
      </c>
      <c r="E357" t="s">
        <v>23</v>
      </c>
      <c r="F357">
        <v>928</v>
      </c>
      <c r="G357">
        <v>1</v>
      </c>
      <c r="H357" s="2">
        <v>44896</v>
      </c>
      <c r="I357">
        <v>36</v>
      </c>
      <c r="J357" t="s">
        <v>16</v>
      </c>
      <c r="K357" t="s">
        <v>20</v>
      </c>
      <c r="L357">
        <f t="shared" si="10"/>
        <v>928</v>
      </c>
      <c r="M357" t="str">
        <f t="shared" si="11"/>
        <v>30-39</v>
      </c>
    </row>
    <row r="358" spans="1:13">
      <c r="A358" s="1">
        <v>357</v>
      </c>
      <c r="B358">
        <v>135</v>
      </c>
      <c r="C358">
        <v>34</v>
      </c>
      <c r="D358" t="s">
        <v>28</v>
      </c>
      <c r="E358" t="s">
        <v>19</v>
      </c>
      <c r="F358">
        <v>51</v>
      </c>
      <c r="G358">
        <v>2</v>
      </c>
      <c r="H358" s="2">
        <v>44908</v>
      </c>
      <c r="I358">
        <v>36</v>
      </c>
      <c r="J358" t="s">
        <v>16</v>
      </c>
      <c r="K358" t="s">
        <v>24</v>
      </c>
      <c r="L358">
        <f t="shared" si="10"/>
        <v>102</v>
      </c>
      <c r="M358" t="str">
        <f t="shared" si="11"/>
        <v>30-39</v>
      </c>
    </row>
    <row r="359" spans="1:13">
      <c r="A359" s="1">
        <v>358</v>
      </c>
      <c r="B359">
        <v>28</v>
      </c>
      <c r="C359">
        <v>26</v>
      </c>
      <c r="D359" t="s">
        <v>15</v>
      </c>
      <c r="E359" t="s">
        <v>19</v>
      </c>
      <c r="F359">
        <v>437</v>
      </c>
      <c r="G359">
        <v>1</v>
      </c>
      <c r="H359" s="2">
        <v>44869</v>
      </c>
      <c r="I359">
        <v>53</v>
      </c>
      <c r="J359" t="s">
        <v>13</v>
      </c>
      <c r="K359" t="s">
        <v>22</v>
      </c>
      <c r="L359">
        <f t="shared" si="10"/>
        <v>437</v>
      </c>
      <c r="M359" t="str">
        <f t="shared" si="11"/>
        <v>50-59</v>
      </c>
    </row>
    <row r="360" spans="1:13">
      <c r="A360" s="1">
        <v>359</v>
      </c>
      <c r="B360">
        <v>51</v>
      </c>
      <c r="C360">
        <v>5</v>
      </c>
      <c r="D360" t="s">
        <v>18</v>
      </c>
      <c r="E360" t="s">
        <v>23</v>
      </c>
      <c r="F360">
        <v>865</v>
      </c>
      <c r="G360">
        <v>2</v>
      </c>
      <c r="H360" s="2">
        <v>44810</v>
      </c>
      <c r="I360">
        <v>46</v>
      </c>
      <c r="J360" t="s">
        <v>13</v>
      </c>
      <c r="K360" t="s">
        <v>22</v>
      </c>
      <c r="L360">
        <f t="shared" si="10"/>
        <v>1730</v>
      </c>
      <c r="M360" t="str">
        <f t="shared" si="11"/>
        <v>40-49</v>
      </c>
    </row>
    <row r="361" spans="1:13">
      <c r="A361" s="1">
        <v>360</v>
      </c>
      <c r="B361">
        <v>186</v>
      </c>
      <c r="C361">
        <v>35</v>
      </c>
      <c r="D361" t="s">
        <v>11</v>
      </c>
      <c r="E361" t="s">
        <v>19</v>
      </c>
      <c r="F361">
        <v>947</v>
      </c>
      <c r="G361">
        <v>3</v>
      </c>
      <c r="H361" s="2">
        <v>44727</v>
      </c>
      <c r="I361">
        <v>35</v>
      </c>
      <c r="J361" t="s">
        <v>16</v>
      </c>
      <c r="K361" t="s">
        <v>24</v>
      </c>
      <c r="L361">
        <f t="shared" si="10"/>
        <v>2841</v>
      </c>
      <c r="M361" t="str">
        <f t="shared" si="11"/>
        <v>30-39</v>
      </c>
    </row>
    <row r="362" spans="1:13">
      <c r="A362" s="1">
        <v>361</v>
      </c>
      <c r="B362">
        <v>5</v>
      </c>
      <c r="C362">
        <v>28</v>
      </c>
      <c r="D362" t="s">
        <v>27</v>
      </c>
      <c r="E362" t="s">
        <v>12</v>
      </c>
      <c r="F362">
        <v>389</v>
      </c>
      <c r="G362">
        <v>4</v>
      </c>
      <c r="H362" s="2">
        <v>44896</v>
      </c>
      <c r="I362">
        <v>19</v>
      </c>
      <c r="J362" t="s">
        <v>13</v>
      </c>
      <c r="K362" t="s">
        <v>30</v>
      </c>
      <c r="L362">
        <f t="shared" si="10"/>
        <v>1556</v>
      </c>
      <c r="M362" t="str">
        <f t="shared" si="11"/>
        <v>Under 20</v>
      </c>
    </row>
    <row r="363" spans="1:13">
      <c r="A363" s="1">
        <v>362</v>
      </c>
      <c r="B363">
        <v>5</v>
      </c>
      <c r="C363">
        <v>29</v>
      </c>
      <c r="D363" t="s">
        <v>11</v>
      </c>
      <c r="E363" t="s">
        <v>12</v>
      </c>
      <c r="F363">
        <v>826</v>
      </c>
      <c r="G363">
        <v>1</v>
      </c>
      <c r="H363" s="2">
        <v>44591</v>
      </c>
      <c r="I363">
        <v>18</v>
      </c>
      <c r="J363" t="s">
        <v>16</v>
      </c>
      <c r="K363" t="s">
        <v>24</v>
      </c>
      <c r="L363">
        <f t="shared" si="10"/>
        <v>826</v>
      </c>
      <c r="M363" t="str">
        <f t="shared" si="11"/>
        <v>Under 20</v>
      </c>
    </row>
    <row r="364" spans="1:13">
      <c r="A364" s="1">
        <v>363</v>
      </c>
      <c r="B364">
        <v>94</v>
      </c>
      <c r="C364">
        <v>9</v>
      </c>
      <c r="D364" t="s">
        <v>18</v>
      </c>
      <c r="E364" t="s">
        <v>23</v>
      </c>
      <c r="F364">
        <v>947</v>
      </c>
      <c r="G364">
        <v>1</v>
      </c>
      <c r="H364" s="2">
        <v>44808</v>
      </c>
      <c r="I364">
        <v>64</v>
      </c>
      <c r="J364" t="s">
        <v>13</v>
      </c>
      <c r="K364" t="s">
        <v>14</v>
      </c>
      <c r="L364">
        <f t="shared" si="10"/>
        <v>947</v>
      </c>
      <c r="M364" t="str">
        <f t="shared" si="11"/>
        <v>Above 60</v>
      </c>
    </row>
    <row r="365" spans="1:13">
      <c r="A365" s="1">
        <v>364</v>
      </c>
      <c r="B365">
        <v>96</v>
      </c>
      <c r="C365">
        <v>38</v>
      </c>
      <c r="D365" t="s">
        <v>27</v>
      </c>
      <c r="E365" t="s">
        <v>23</v>
      </c>
      <c r="F365">
        <v>992</v>
      </c>
      <c r="G365">
        <v>4</v>
      </c>
      <c r="H365" s="2">
        <v>44667</v>
      </c>
      <c r="I365">
        <v>22</v>
      </c>
      <c r="J365" t="s">
        <v>16</v>
      </c>
      <c r="K365" t="s">
        <v>17</v>
      </c>
      <c r="L365">
        <f t="shared" si="10"/>
        <v>3968</v>
      </c>
      <c r="M365" t="str">
        <f t="shared" si="11"/>
        <v>20-29</v>
      </c>
    </row>
    <row r="366" spans="1:13">
      <c r="A366" s="1">
        <v>365</v>
      </c>
      <c r="B366">
        <v>8</v>
      </c>
      <c r="C366">
        <v>50</v>
      </c>
      <c r="D366" t="s">
        <v>27</v>
      </c>
      <c r="E366" t="s">
        <v>19</v>
      </c>
      <c r="F366">
        <v>752</v>
      </c>
      <c r="G366">
        <v>1</v>
      </c>
      <c r="H366" s="2">
        <v>44612</v>
      </c>
      <c r="I366">
        <v>37</v>
      </c>
      <c r="J366" t="s">
        <v>13</v>
      </c>
      <c r="K366" t="s">
        <v>30</v>
      </c>
      <c r="L366">
        <f t="shared" si="10"/>
        <v>752</v>
      </c>
      <c r="M366" t="str">
        <f t="shared" si="11"/>
        <v>30-39</v>
      </c>
    </row>
    <row r="367" spans="1:13">
      <c r="A367" s="1">
        <v>366</v>
      </c>
      <c r="B367">
        <v>64</v>
      </c>
      <c r="C367">
        <v>6</v>
      </c>
      <c r="D367" t="s">
        <v>15</v>
      </c>
      <c r="E367" t="s">
        <v>19</v>
      </c>
      <c r="F367">
        <v>345</v>
      </c>
      <c r="G367">
        <v>1</v>
      </c>
      <c r="H367" s="2">
        <v>44642</v>
      </c>
      <c r="I367">
        <v>28</v>
      </c>
      <c r="J367" t="s">
        <v>13</v>
      </c>
      <c r="K367" t="s">
        <v>20</v>
      </c>
      <c r="L367">
        <f t="shared" si="10"/>
        <v>345</v>
      </c>
      <c r="M367" t="str">
        <f t="shared" si="11"/>
        <v>20-29</v>
      </c>
    </row>
    <row r="368" spans="1:13">
      <c r="A368" s="1">
        <v>367</v>
      </c>
      <c r="B368">
        <v>138</v>
      </c>
      <c r="C368">
        <v>19</v>
      </c>
      <c r="D368" t="s">
        <v>11</v>
      </c>
      <c r="E368" t="s">
        <v>12</v>
      </c>
      <c r="F368">
        <v>155</v>
      </c>
      <c r="G368">
        <v>2</v>
      </c>
      <c r="H368" s="2">
        <v>44694</v>
      </c>
      <c r="I368">
        <v>59</v>
      </c>
      <c r="J368" t="s">
        <v>16</v>
      </c>
      <c r="K368" t="s">
        <v>14</v>
      </c>
      <c r="L368">
        <f t="shared" si="10"/>
        <v>310</v>
      </c>
      <c r="M368" t="str">
        <f t="shared" si="11"/>
        <v>50-59</v>
      </c>
    </row>
    <row r="369" spans="1:13">
      <c r="A369" s="1">
        <v>368</v>
      </c>
      <c r="B369">
        <v>38</v>
      </c>
      <c r="C369">
        <v>44</v>
      </c>
      <c r="D369" t="s">
        <v>31</v>
      </c>
      <c r="E369" t="s">
        <v>12</v>
      </c>
      <c r="F369">
        <v>871</v>
      </c>
      <c r="G369">
        <v>1</v>
      </c>
      <c r="H369" s="2">
        <v>44846</v>
      </c>
      <c r="I369">
        <v>19</v>
      </c>
      <c r="J369" t="s">
        <v>13</v>
      </c>
      <c r="K369" t="s">
        <v>30</v>
      </c>
      <c r="L369">
        <f t="shared" si="10"/>
        <v>871</v>
      </c>
      <c r="M369" t="str">
        <f t="shared" si="11"/>
        <v>Under 20</v>
      </c>
    </row>
    <row r="370" spans="1:13">
      <c r="A370" s="1">
        <v>369</v>
      </c>
      <c r="B370">
        <v>111</v>
      </c>
      <c r="C370">
        <v>11</v>
      </c>
      <c r="D370" t="s">
        <v>26</v>
      </c>
      <c r="E370" t="s">
        <v>12</v>
      </c>
      <c r="F370">
        <v>439</v>
      </c>
      <c r="G370">
        <v>3</v>
      </c>
      <c r="H370" s="2">
        <v>44699</v>
      </c>
      <c r="I370">
        <v>20</v>
      </c>
      <c r="J370" t="s">
        <v>13</v>
      </c>
      <c r="K370" t="s">
        <v>24</v>
      </c>
      <c r="L370">
        <f t="shared" si="10"/>
        <v>1317</v>
      </c>
      <c r="M370" t="str">
        <f t="shared" si="11"/>
        <v>20-29</v>
      </c>
    </row>
    <row r="371" spans="1:13">
      <c r="A371" s="1">
        <v>370</v>
      </c>
      <c r="B371">
        <v>112</v>
      </c>
      <c r="C371">
        <v>2</v>
      </c>
      <c r="D371" t="s">
        <v>11</v>
      </c>
      <c r="E371" t="s">
        <v>19</v>
      </c>
      <c r="F371">
        <v>821</v>
      </c>
      <c r="G371">
        <v>3</v>
      </c>
      <c r="H371" s="2">
        <v>44745</v>
      </c>
      <c r="I371">
        <v>40</v>
      </c>
      <c r="J371" t="s">
        <v>16</v>
      </c>
      <c r="K371" t="s">
        <v>24</v>
      </c>
      <c r="L371">
        <f t="shared" si="10"/>
        <v>2463</v>
      </c>
      <c r="M371" t="str">
        <f t="shared" si="11"/>
        <v>40-49</v>
      </c>
    </row>
    <row r="372" spans="1:13">
      <c r="A372" s="1">
        <v>371</v>
      </c>
      <c r="B372">
        <v>81</v>
      </c>
      <c r="C372">
        <v>47</v>
      </c>
      <c r="D372" t="s">
        <v>25</v>
      </c>
      <c r="E372" t="s">
        <v>23</v>
      </c>
      <c r="F372">
        <v>871</v>
      </c>
      <c r="G372">
        <v>4</v>
      </c>
      <c r="H372" s="2">
        <v>44891</v>
      </c>
      <c r="I372">
        <v>29</v>
      </c>
      <c r="J372" t="s">
        <v>13</v>
      </c>
      <c r="K372" t="s">
        <v>24</v>
      </c>
      <c r="L372">
        <f t="shared" si="10"/>
        <v>3484</v>
      </c>
      <c r="M372" t="str">
        <f t="shared" si="11"/>
        <v>20-29</v>
      </c>
    </row>
    <row r="373" spans="1:13">
      <c r="A373" s="1">
        <v>372</v>
      </c>
      <c r="B373">
        <v>136</v>
      </c>
      <c r="C373">
        <v>44</v>
      </c>
      <c r="D373" t="s">
        <v>25</v>
      </c>
      <c r="E373" t="s">
        <v>12</v>
      </c>
      <c r="F373">
        <v>798</v>
      </c>
      <c r="G373">
        <v>1</v>
      </c>
      <c r="H373" s="2">
        <v>44834</v>
      </c>
      <c r="I373">
        <v>37</v>
      </c>
      <c r="J373" t="s">
        <v>16</v>
      </c>
      <c r="K373" t="s">
        <v>24</v>
      </c>
      <c r="L373">
        <f t="shared" si="10"/>
        <v>798</v>
      </c>
      <c r="M373" t="str">
        <f t="shared" si="11"/>
        <v>30-39</v>
      </c>
    </row>
    <row r="374" spans="1:13">
      <c r="A374" s="1">
        <v>373</v>
      </c>
      <c r="B374">
        <v>104</v>
      </c>
      <c r="C374">
        <v>44</v>
      </c>
      <c r="D374" t="s">
        <v>27</v>
      </c>
      <c r="E374" t="s">
        <v>23</v>
      </c>
      <c r="F374">
        <v>387</v>
      </c>
      <c r="G374">
        <v>4</v>
      </c>
      <c r="H374" s="2">
        <v>44901</v>
      </c>
      <c r="I374">
        <v>22</v>
      </c>
      <c r="J374" t="s">
        <v>16</v>
      </c>
      <c r="K374" t="s">
        <v>20</v>
      </c>
      <c r="L374">
        <f t="shared" si="10"/>
        <v>1548</v>
      </c>
      <c r="M374" t="str">
        <f t="shared" si="11"/>
        <v>20-29</v>
      </c>
    </row>
    <row r="375" spans="1:13">
      <c r="A375" s="1">
        <v>374</v>
      </c>
      <c r="B375">
        <v>153</v>
      </c>
      <c r="C375">
        <v>9</v>
      </c>
      <c r="D375" t="s">
        <v>26</v>
      </c>
      <c r="E375" t="s">
        <v>12</v>
      </c>
      <c r="F375">
        <v>251</v>
      </c>
      <c r="G375">
        <v>3</v>
      </c>
      <c r="H375" s="2">
        <v>44630</v>
      </c>
      <c r="I375">
        <v>54</v>
      </c>
      <c r="J375" t="s">
        <v>13</v>
      </c>
      <c r="K375" t="s">
        <v>14</v>
      </c>
      <c r="L375">
        <f t="shared" si="10"/>
        <v>753</v>
      </c>
      <c r="M375" t="str">
        <f t="shared" si="11"/>
        <v>50-59</v>
      </c>
    </row>
    <row r="376" spans="1:13">
      <c r="A376" s="1">
        <v>375</v>
      </c>
      <c r="B376">
        <v>73</v>
      </c>
      <c r="C376">
        <v>21</v>
      </c>
      <c r="D376" t="s">
        <v>29</v>
      </c>
      <c r="E376" t="s">
        <v>12</v>
      </c>
      <c r="F376">
        <v>251</v>
      </c>
      <c r="G376">
        <v>1</v>
      </c>
      <c r="H376" s="2">
        <v>44595</v>
      </c>
      <c r="I376">
        <v>55</v>
      </c>
      <c r="J376" t="s">
        <v>13</v>
      </c>
      <c r="K376" t="s">
        <v>22</v>
      </c>
      <c r="L376">
        <f t="shared" si="10"/>
        <v>251</v>
      </c>
      <c r="M376" t="str">
        <f t="shared" si="11"/>
        <v>50-59</v>
      </c>
    </row>
    <row r="377" spans="1:13">
      <c r="A377" s="1">
        <v>376</v>
      </c>
      <c r="B377">
        <v>194</v>
      </c>
      <c r="C377">
        <v>24</v>
      </c>
      <c r="D377" t="s">
        <v>18</v>
      </c>
      <c r="E377" t="s">
        <v>19</v>
      </c>
      <c r="F377">
        <v>389</v>
      </c>
      <c r="G377">
        <v>1</v>
      </c>
      <c r="H377" s="2">
        <v>44823</v>
      </c>
      <c r="I377">
        <v>47</v>
      </c>
      <c r="J377" t="s">
        <v>13</v>
      </c>
      <c r="K377" t="s">
        <v>17</v>
      </c>
      <c r="L377">
        <f t="shared" si="10"/>
        <v>389</v>
      </c>
      <c r="M377" t="str">
        <f t="shared" si="11"/>
        <v>40-49</v>
      </c>
    </row>
    <row r="378" spans="1:13">
      <c r="A378" s="1">
        <v>377</v>
      </c>
      <c r="B378">
        <v>178</v>
      </c>
      <c r="C378">
        <v>34</v>
      </c>
      <c r="D378" t="s">
        <v>28</v>
      </c>
      <c r="E378" t="s">
        <v>19</v>
      </c>
      <c r="F378">
        <v>320</v>
      </c>
      <c r="G378">
        <v>4</v>
      </c>
      <c r="H378" s="2">
        <v>44614</v>
      </c>
      <c r="I378">
        <v>26</v>
      </c>
      <c r="J378" t="s">
        <v>13</v>
      </c>
      <c r="K378" t="s">
        <v>20</v>
      </c>
      <c r="L378">
        <f t="shared" si="10"/>
        <v>1280</v>
      </c>
      <c r="M378" t="str">
        <f t="shared" si="11"/>
        <v>20-29</v>
      </c>
    </row>
    <row r="379" spans="1:13">
      <c r="A379" s="1">
        <v>378</v>
      </c>
      <c r="B379">
        <v>195</v>
      </c>
      <c r="C379">
        <v>22</v>
      </c>
      <c r="D379" t="s">
        <v>26</v>
      </c>
      <c r="E379" t="s">
        <v>12</v>
      </c>
      <c r="F379">
        <v>387</v>
      </c>
      <c r="G379">
        <v>3</v>
      </c>
      <c r="H379" s="2">
        <v>44766</v>
      </c>
      <c r="I379">
        <v>51</v>
      </c>
      <c r="J379" t="s">
        <v>13</v>
      </c>
      <c r="K379" t="s">
        <v>20</v>
      </c>
      <c r="L379">
        <f t="shared" si="10"/>
        <v>1161</v>
      </c>
      <c r="M379" t="str">
        <f t="shared" si="11"/>
        <v>50-59</v>
      </c>
    </row>
    <row r="380" spans="1:13">
      <c r="A380" s="1">
        <v>379</v>
      </c>
      <c r="B380">
        <v>49</v>
      </c>
      <c r="C380">
        <v>3</v>
      </c>
      <c r="D380" t="s">
        <v>28</v>
      </c>
      <c r="E380" t="s">
        <v>19</v>
      </c>
      <c r="F380">
        <v>345</v>
      </c>
      <c r="G380">
        <v>1</v>
      </c>
      <c r="H380" s="2">
        <v>44687</v>
      </c>
      <c r="I380">
        <v>61</v>
      </c>
      <c r="J380" t="s">
        <v>13</v>
      </c>
      <c r="K380" t="s">
        <v>22</v>
      </c>
      <c r="L380">
        <f t="shared" si="10"/>
        <v>345</v>
      </c>
      <c r="M380" t="str">
        <f t="shared" si="11"/>
        <v>Above 60</v>
      </c>
    </row>
    <row r="381" spans="1:13">
      <c r="A381" s="1">
        <v>380</v>
      </c>
      <c r="B381">
        <v>36</v>
      </c>
      <c r="C381">
        <v>12</v>
      </c>
      <c r="D381" t="s">
        <v>11</v>
      </c>
      <c r="E381" t="s">
        <v>12</v>
      </c>
      <c r="F381">
        <v>841</v>
      </c>
      <c r="G381">
        <v>4</v>
      </c>
      <c r="H381" s="2">
        <v>44796</v>
      </c>
      <c r="I381">
        <v>52</v>
      </c>
      <c r="J381" t="s">
        <v>13</v>
      </c>
      <c r="K381" t="s">
        <v>22</v>
      </c>
      <c r="L381">
        <f t="shared" si="10"/>
        <v>3364</v>
      </c>
      <c r="M381" t="str">
        <f t="shared" si="11"/>
        <v>50-59</v>
      </c>
    </row>
    <row r="382" spans="1:13">
      <c r="A382" s="1">
        <v>381</v>
      </c>
      <c r="B382">
        <v>126</v>
      </c>
      <c r="C382">
        <v>28</v>
      </c>
      <c r="D382" t="s">
        <v>11</v>
      </c>
      <c r="E382" t="s">
        <v>19</v>
      </c>
      <c r="F382">
        <v>345</v>
      </c>
      <c r="G382">
        <v>3</v>
      </c>
      <c r="H382" s="2">
        <v>44604</v>
      </c>
      <c r="I382">
        <v>39</v>
      </c>
      <c r="J382" t="s">
        <v>16</v>
      </c>
      <c r="K382" t="s">
        <v>17</v>
      </c>
      <c r="L382">
        <f t="shared" si="10"/>
        <v>1035</v>
      </c>
      <c r="M382" t="str">
        <f t="shared" si="11"/>
        <v>30-39</v>
      </c>
    </row>
    <row r="383" spans="1:13">
      <c r="A383" s="1">
        <v>382</v>
      </c>
      <c r="B383">
        <v>68</v>
      </c>
      <c r="C383">
        <v>30</v>
      </c>
      <c r="D383" t="s">
        <v>28</v>
      </c>
      <c r="E383" t="s">
        <v>19</v>
      </c>
      <c r="F383">
        <v>776</v>
      </c>
      <c r="G383">
        <v>4</v>
      </c>
      <c r="H383" s="2">
        <v>44801</v>
      </c>
      <c r="I383">
        <v>61</v>
      </c>
      <c r="J383" t="s">
        <v>13</v>
      </c>
      <c r="K383" t="s">
        <v>17</v>
      </c>
      <c r="L383">
        <f t="shared" si="10"/>
        <v>3104</v>
      </c>
      <c r="M383" t="str">
        <f t="shared" si="11"/>
        <v>Above 60</v>
      </c>
    </row>
    <row r="384" spans="1:13">
      <c r="A384" s="1">
        <v>383</v>
      </c>
      <c r="B384">
        <v>78</v>
      </c>
      <c r="C384">
        <v>26</v>
      </c>
      <c r="D384" t="s">
        <v>18</v>
      </c>
      <c r="E384" t="s">
        <v>12</v>
      </c>
      <c r="F384">
        <v>981</v>
      </c>
      <c r="G384">
        <v>2</v>
      </c>
      <c r="H384" s="2">
        <v>44672</v>
      </c>
      <c r="I384">
        <v>41</v>
      </c>
      <c r="J384" t="s">
        <v>16</v>
      </c>
      <c r="K384" t="s">
        <v>22</v>
      </c>
      <c r="L384">
        <f t="shared" si="10"/>
        <v>1962</v>
      </c>
      <c r="M384" t="str">
        <f t="shared" si="11"/>
        <v>40-49</v>
      </c>
    </row>
    <row r="385" spans="1:13">
      <c r="A385" s="1">
        <v>384</v>
      </c>
      <c r="B385">
        <v>105</v>
      </c>
      <c r="C385">
        <v>48</v>
      </c>
      <c r="D385" t="s">
        <v>26</v>
      </c>
      <c r="E385" t="s">
        <v>23</v>
      </c>
      <c r="F385">
        <v>319</v>
      </c>
      <c r="G385">
        <v>1</v>
      </c>
      <c r="H385" s="2">
        <v>44810</v>
      </c>
      <c r="I385">
        <v>34</v>
      </c>
      <c r="J385" t="s">
        <v>13</v>
      </c>
      <c r="K385" t="s">
        <v>24</v>
      </c>
      <c r="L385">
        <f t="shared" si="10"/>
        <v>319</v>
      </c>
      <c r="M385" t="str">
        <f t="shared" si="11"/>
        <v>30-39</v>
      </c>
    </row>
    <row r="386" spans="1:13">
      <c r="A386" s="1">
        <v>385</v>
      </c>
      <c r="B386">
        <v>169</v>
      </c>
      <c r="C386">
        <v>21</v>
      </c>
      <c r="D386" t="s">
        <v>29</v>
      </c>
      <c r="E386" t="s">
        <v>12</v>
      </c>
      <c r="F386">
        <v>841</v>
      </c>
      <c r="G386">
        <v>2</v>
      </c>
      <c r="H386" s="2">
        <v>44712</v>
      </c>
      <c r="I386">
        <v>27</v>
      </c>
      <c r="J386" t="s">
        <v>13</v>
      </c>
      <c r="K386" t="s">
        <v>20</v>
      </c>
      <c r="L386">
        <f t="shared" si="10"/>
        <v>1682</v>
      </c>
      <c r="M386" t="str">
        <f t="shared" si="11"/>
        <v>20-29</v>
      </c>
    </row>
    <row r="387" spans="1:13">
      <c r="A387" s="1">
        <v>386</v>
      </c>
      <c r="B387">
        <v>122</v>
      </c>
      <c r="C387">
        <v>28</v>
      </c>
      <c r="D387" t="s">
        <v>27</v>
      </c>
      <c r="E387" t="s">
        <v>19</v>
      </c>
      <c r="F387">
        <v>439</v>
      </c>
      <c r="G387">
        <v>3</v>
      </c>
      <c r="H387" s="2">
        <v>44744</v>
      </c>
      <c r="I387">
        <v>47</v>
      </c>
      <c r="J387" t="s">
        <v>16</v>
      </c>
      <c r="K387" t="s">
        <v>30</v>
      </c>
      <c r="L387">
        <f t="shared" ref="L387:L450" si="12">F387*G387</f>
        <v>1317</v>
      </c>
      <c r="M387" t="str">
        <f t="shared" ref="M387:M450" si="13">IF(I387&lt;20,"Under 20",IF(I387&lt;30,"20-29",IF(I387&lt;40,"30-39",IF(I387&lt;50,"40-49",IF(I387&lt;60,"50-59","Above 60")))))</f>
        <v>40-49</v>
      </c>
    </row>
    <row r="388" spans="1:13">
      <c r="A388" s="1">
        <v>387</v>
      </c>
      <c r="B388">
        <v>119</v>
      </c>
      <c r="C388">
        <v>26</v>
      </c>
      <c r="D388" t="s">
        <v>15</v>
      </c>
      <c r="E388" t="s">
        <v>23</v>
      </c>
      <c r="F388">
        <v>477</v>
      </c>
      <c r="G388">
        <v>2</v>
      </c>
      <c r="H388" s="2">
        <v>44897</v>
      </c>
      <c r="I388">
        <v>63</v>
      </c>
      <c r="J388" t="s">
        <v>13</v>
      </c>
      <c r="K388" t="s">
        <v>17</v>
      </c>
      <c r="L388">
        <f t="shared" si="12"/>
        <v>954</v>
      </c>
      <c r="M388" t="str">
        <f t="shared" si="13"/>
        <v>Above 60</v>
      </c>
    </row>
    <row r="389" spans="1:13">
      <c r="A389" s="1">
        <v>388</v>
      </c>
      <c r="B389">
        <v>190</v>
      </c>
      <c r="C389">
        <v>33</v>
      </c>
      <c r="D389" t="s">
        <v>11</v>
      </c>
      <c r="E389" t="s">
        <v>19</v>
      </c>
      <c r="F389">
        <v>141</v>
      </c>
      <c r="G389">
        <v>2</v>
      </c>
      <c r="H389" s="2">
        <v>44656</v>
      </c>
      <c r="I389">
        <v>40</v>
      </c>
      <c r="J389" t="s">
        <v>13</v>
      </c>
      <c r="K389" t="s">
        <v>17</v>
      </c>
      <c r="L389">
        <f t="shared" si="12"/>
        <v>282</v>
      </c>
      <c r="M389" t="str">
        <f t="shared" si="13"/>
        <v>40-49</v>
      </c>
    </row>
    <row r="390" spans="1:13">
      <c r="A390" s="1">
        <v>389</v>
      </c>
      <c r="B390">
        <v>114</v>
      </c>
      <c r="C390">
        <v>21</v>
      </c>
      <c r="D390" t="s">
        <v>25</v>
      </c>
      <c r="E390" t="s">
        <v>12</v>
      </c>
      <c r="F390">
        <v>798</v>
      </c>
      <c r="G390">
        <v>3</v>
      </c>
      <c r="H390" s="2">
        <v>44569</v>
      </c>
      <c r="I390">
        <v>49</v>
      </c>
      <c r="J390" t="s">
        <v>16</v>
      </c>
      <c r="K390" t="s">
        <v>22</v>
      </c>
      <c r="L390">
        <f t="shared" si="12"/>
        <v>2394</v>
      </c>
      <c r="M390" t="str">
        <f t="shared" si="13"/>
        <v>40-49</v>
      </c>
    </row>
    <row r="391" spans="1:13">
      <c r="A391" s="1">
        <v>390</v>
      </c>
      <c r="B391">
        <v>10</v>
      </c>
      <c r="C391">
        <v>35</v>
      </c>
      <c r="D391" t="s">
        <v>18</v>
      </c>
      <c r="E391" t="s">
        <v>19</v>
      </c>
      <c r="F391">
        <v>865</v>
      </c>
      <c r="G391">
        <v>4</v>
      </c>
      <c r="H391" s="2">
        <v>44921</v>
      </c>
      <c r="I391">
        <v>34</v>
      </c>
      <c r="J391" t="s">
        <v>13</v>
      </c>
      <c r="K391" t="s">
        <v>14</v>
      </c>
      <c r="L391">
        <f t="shared" si="12"/>
        <v>3460</v>
      </c>
      <c r="M391" t="str">
        <f t="shared" si="13"/>
        <v>30-39</v>
      </c>
    </row>
    <row r="392" spans="1:13">
      <c r="A392" s="1">
        <v>391</v>
      </c>
      <c r="B392">
        <v>149</v>
      </c>
      <c r="C392">
        <v>34</v>
      </c>
      <c r="D392" t="s">
        <v>15</v>
      </c>
      <c r="E392" t="s">
        <v>12</v>
      </c>
      <c r="F392">
        <v>776</v>
      </c>
      <c r="G392">
        <v>2</v>
      </c>
      <c r="H392" s="2">
        <v>44745</v>
      </c>
      <c r="I392">
        <v>34</v>
      </c>
      <c r="J392" t="s">
        <v>13</v>
      </c>
      <c r="K392" t="s">
        <v>30</v>
      </c>
      <c r="L392">
        <f t="shared" si="12"/>
        <v>1552</v>
      </c>
      <c r="M392" t="str">
        <f t="shared" si="13"/>
        <v>30-39</v>
      </c>
    </row>
    <row r="393" spans="1:13">
      <c r="A393" s="1">
        <v>392</v>
      </c>
      <c r="B393">
        <v>164</v>
      </c>
      <c r="C393">
        <v>41</v>
      </c>
      <c r="D393" t="s">
        <v>29</v>
      </c>
      <c r="E393" t="s">
        <v>12</v>
      </c>
      <c r="F393">
        <v>615</v>
      </c>
      <c r="G393">
        <v>4</v>
      </c>
      <c r="H393" s="2">
        <v>44842</v>
      </c>
      <c r="I393">
        <v>31</v>
      </c>
      <c r="J393" t="s">
        <v>13</v>
      </c>
      <c r="K393" t="s">
        <v>30</v>
      </c>
      <c r="L393">
        <f t="shared" si="12"/>
        <v>2460</v>
      </c>
      <c r="M393" t="str">
        <f t="shared" si="13"/>
        <v>30-39</v>
      </c>
    </row>
    <row r="394" spans="1:13">
      <c r="A394" s="1">
        <v>393</v>
      </c>
      <c r="B394">
        <v>140</v>
      </c>
      <c r="C394">
        <v>47</v>
      </c>
      <c r="D394" t="s">
        <v>21</v>
      </c>
      <c r="E394" t="s">
        <v>19</v>
      </c>
      <c r="F394">
        <v>751</v>
      </c>
      <c r="G394">
        <v>2</v>
      </c>
      <c r="H394" s="2">
        <v>44756</v>
      </c>
      <c r="I394">
        <v>26</v>
      </c>
      <c r="J394" t="s">
        <v>16</v>
      </c>
      <c r="K394" t="s">
        <v>17</v>
      </c>
      <c r="L394">
        <f t="shared" si="12"/>
        <v>1502</v>
      </c>
      <c r="M394" t="str">
        <f t="shared" si="13"/>
        <v>20-29</v>
      </c>
    </row>
    <row r="395" spans="1:13">
      <c r="A395" s="1">
        <v>394</v>
      </c>
      <c r="B395">
        <v>91</v>
      </c>
      <c r="C395">
        <v>18</v>
      </c>
      <c r="D395" t="s">
        <v>27</v>
      </c>
      <c r="E395" t="s">
        <v>19</v>
      </c>
      <c r="F395">
        <v>389</v>
      </c>
      <c r="G395">
        <v>4</v>
      </c>
      <c r="H395" s="2">
        <v>44913</v>
      </c>
      <c r="I395">
        <v>57</v>
      </c>
      <c r="J395" t="s">
        <v>13</v>
      </c>
      <c r="K395" t="s">
        <v>24</v>
      </c>
      <c r="L395">
        <f t="shared" si="12"/>
        <v>1556</v>
      </c>
      <c r="M395" t="str">
        <f t="shared" si="13"/>
        <v>50-59</v>
      </c>
    </row>
    <row r="396" spans="1:13">
      <c r="A396" s="1">
        <v>395</v>
      </c>
      <c r="B396">
        <v>2</v>
      </c>
      <c r="C396">
        <v>11</v>
      </c>
      <c r="D396" t="s">
        <v>11</v>
      </c>
      <c r="E396" t="s">
        <v>23</v>
      </c>
      <c r="F396">
        <v>345</v>
      </c>
      <c r="G396">
        <v>3</v>
      </c>
      <c r="H396" s="2">
        <v>44756</v>
      </c>
      <c r="I396">
        <v>19</v>
      </c>
      <c r="J396" t="s">
        <v>13</v>
      </c>
      <c r="K396" t="s">
        <v>14</v>
      </c>
      <c r="L396">
        <f t="shared" si="12"/>
        <v>1035</v>
      </c>
      <c r="M396" t="str">
        <f t="shared" si="13"/>
        <v>Under 20</v>
      </c>
    </row>
    <row r="397" spans="1:13">
      <c r="A397" s="1">
        <v>396</v>
      </c>
      <c r="B397">
        <v>118</v>
      </c>
      <c r="C397">
        <v>23</v>
      </c>
      <c r="D397" t="s">
        <v>27</v>
      </c>
      <c r="E397" t="s">
        <v>19</v>
      </c>
      <c r="F397">
        <v>155</v>
      </c>
      <c r="G397">
        <v>2</v>
      </c>
      <c r="H397" s="2">
        <v>44716</v>
      </c>
      <c r="I397">
        <v>62</v>
      </c>
      <c r="J397" t="s">
        <v>13</v>
      </c>
      <c r="K397" t="s">
        <v>30</v>
      </c>
      <c r="L397">
        <f t="shared" si="12"/>
        <v>310</v>
      </c>
      <c r="M397" t="str">
        <f t="shared" si="13"/>
        <v>Above 60</v>
      </c>
    </row>
    <row r="398" spans="1:13">
      <c r="A398" s="1">
        <v>397</v>
      </c>
      <c r="B398">
        <v>13</v>
      </c>
      <c r="C398">
        <v>48</v>
      </c>
      <c r="D398" t="s">
        <v>15</v>
      </c>
      <c r="E398" t="s">
        <v>23</v>
      </c>
      <c r="F398">
        <v>611</v>
      </c>
      <c r="G398">
        <v>3</v>
      </c>
      <c r="H398" s="2">
        <v>44654</v>
      </c>
      <c r="I398">
        <v>42</v>
      </c>
      <c r="J398" t="s">
        <v>13</v>
      </c>
      <c r="K398" t="s">
        <v>17</v>
      </c>
      <c r="L398">
        <f t="shared" si="12"/>
        <v>1833</v>
      </c>
      <c r="M398" t="str">
        <f t="shared" si="13"/>
        <v>40-49</v>
      </c>
    </row>
    <row r="399" spans="1:13">
      <c r="A399" s="1">
        <v>398</v>
      </c>
      <c r="B399">
        <v>181</v>
      </c>
      <c r="C399">
        <v>22</v>
      </c>
      <c r="D399" t="s">
        <v>27</v>
      </c>
      <c r="E399" t="s">
        <v>23</v>
      </c>
      <c r="F399">
        <v>992</v>
      </c>
      <c r="G399">
        <v>2</v>
      </c>
      <c r="H399" s="2">
        <v>44721</v>
      </c>
      <c r="I399">
        <v>56</v>
      </c>
      <c r="J399" t="s">
        <v>16</v>
      </c>
      <c r="K399" t="s">
        <v>30</v>
      </c>
      <c r="L399">
        <f t="shared" si="12"/>
        <v>1984</v>
      </c>
      <c r="M399" t="str">
        <f t="shared" si="13"/>
        <v>50-59</v>
      </c>
    </row>
    <row r="400" spans="1:13">
      <c r="A400" s="1">
        <v>399</v>
      </c>
      <c r="B400">
        <v>160</v>
      </c>
      <c r="C400">
        <v>17</v>
      </c>
      <c r="D400" t="s">
        <v>21</v>
      </c>
      <c r="E400" t="s">
        <v>23</v>
      </c>
      <c r="F400">
        <v>155</v>
      </c>
      <c r="G400">
        <v>3</v>
      </c>
      <c r="H400" s="2">
        <v>44622</v>
      </c>
      <c r="I400">
        <v>26</v>
      </c>
      <c r="J400" t="s">
        <v>16</v>
      </c>
      <c r="K400" t="s">
        <v>14</v>
      </c>
      <c r="L400">
        <f t="shared" si="12"/>
        <v>465</v>
      </c>
      <c r="M400" t="str">
        <f t="shared" si="13"/>
        <v>20-29</v>
      </c>
    </row>
    <row r="401" spans="1:13">
      <c r="A401" s="1">
        <v>400</v>
      </c>
      <c r="B401">
        <v>95</v>
      </c>
      <c r="C401">
        <v>5</v>
      </c>
      <c r="D401" t="s">
        <v>15</v>
      </c>
      <c r="E401" t="s">
        <v>12</v>
      </c>
      <c r="F401">
        <v>981</v>
      </c>
      <c r="G401">
        <v>3</v>
      </c>
      <c r="H401" s="2">
        <v>44683</v>
      </c>
      <c r="I401">
        <v>39</v>
      </c>
      <c r="J401" t="s">
        <v>13</v>
      </c>
      <c r="K401" t="s">
        <v>14</v>
      </c>
      <c r="L401">
        <f t="shared" si="12"/>
        <v>2943</v>
      </c>
      <c r="M401" t="str">
        <f t="shared" si="13"/>
        <v>30-39</v>
      </c>
    </row>
    <row r="402" spans="1:13">
      <c r="A402" s="1">
        <v>401</v>
      </c>
      <c r="B402">
        <v>144</v>
      </c>
      <c r="C402">
        <v>44</v>
      </c>
      <c r="D402" t="s">
        <v>11</v>
      </c>
      <c r="E402" t="s">
        <v>19</v>
      </c>
      <c r="F402">
        <v>614</v>
      </c>
      <c r="G402">
        <v>2</v>
      </c>
      <c r="H402" s="2">
        <v>44612</v>
      </c>
      <c r="I402">
        <v>60</v>
      </c>
      <c r="J402" t="s">
        <v>13</v>
      </c>
      <c r="K402" t="s">
        <v>20</v>
      </c>
      <c r="L402">
        <f t="shared" si="12"/>
        <v>1228</v>
      </c>
      <c r="M402" t="str">
        <f t="shared" si="13"/>
        <v>Above 60</v>
      </c>
    </row>
    <row r="403" spans="1:13">
      <c r="A403" s="1">
        <v>402</v>
      </c>
      <c r="B403">
        <v>32</v>
      </c>
      <c r="C403">
        <v>11</v>
      </c>
      <c r="D403" t="s">
        <v>26</v>
      </c>
      <c r="E403" t="s">
        <v>23</v>
      </c>
      <c r="F403">
        <v>605</v>
      </c>
      <c r="G403">
        <v>2</v>
      </c>
      <c r="H403" s="2">
        <v>44838</v>
      </c>
      <c r="I403">
        <v>63</v>
      </c>
      <c r="J403" t="s">
        <v>16</v>
      </c>
      <c r="K403" t="s">
        <v>22</v>
      </c>
      <c r="L403">
        <f t="shared" si="12"/>
        <v>1210</v>
      </c>
      <c r="M403" t="str">
        <f t="shared" si="13"/>
        <v>Above 60</v>
      </c>
    </row>
    <row r="404" spans="1:13">
      <c r="A404" s="1">
        <v>403</v>
      </c>
      <c r="B404">
        <v>32</v>
      </c>
      <c r="C404">
        <v>30</v>
      </c>
      <c r="D404" t="s">
        <v>25</v>
      </c>
      <c r="E404" t="s">
        <v>12</v>
      </c>
      <c r="F404">
        <v>615</v>
      </c>
      <c r="G404">
        <v>2</v>
      </c>
      <c r="H404" s="2">
        <v>44566</v>
      </c>
      <c r="I404">
        <v>21</v>
      </c>
      <c r="J404" t="s">
        <v>16</v>
      </c>
      <c r="K404" t="s">
        <v>22</v>
      </c>
      <c r="L404">
        <f t="shared" si="12"/>
        <v>1230</v>
      </c>
      <c r="M404" t="str">
        <f t="shared" si="13"/>
        <v>20-29</v>
      </c>
    </row>
    <row r="405" spans="1:13">
      <c r="A405" s="1">
        <v>404</v>
      </c>
      <c r="B405">
        <v>124</v>
      </c>
      <c r="C405">
        <v>15</v>
      </c>
      <c r="D405" t="s">
        <v>15</v>
      </c>
      <c r="E405" t="s">
        <v>12</v>
      </c>
      <c r="F405">
        <v>477</v>
      </c>
      <c r="G405">
        <v>1</v>
      </c>
      <c r="H405" s="2">
        <v>44653</v>
      </c>
      <c r="I405">
        <v>43</v>
      </c>
      <c r="J405" t="s">
        <v>13</v>
      </c>
      <c r="K405" t="s">
        <v>17</v>
      </c>
      <c r="L405">
        <f t="shared" si="12"/>
        <v>477</v>
      </c>
      <c r="M405" t="str">
        <f t="shared" si="13"/>
        <v>40-49</v>
      </c>
    </row>
    <row r="406" spans="1:13">
      <c r="A406" s="1">
        <v>405</v>
      </c>
      <c r="B406">
        <v>11</v>
      </c>
      <c r="C406">
        <v>27</v>
      </c>
      <c r="D406" t="s">
        <v>31</v>
      </c>
      <c r="E406" t="s">
        <v>23</v>
      </c>
      <c r="F406">
        <v>779</v>
      </c>
      <c r="G406">
        <v>4</v>
      </c>
      <c r="H406" s="2">
        <v>44731</v>
      </c>
      <c r="I406">
        <v>46</v>
      </c>
      <c r="J406" t="s">
        <v>16</v>
      </c>
      <c r="K406" t="s">
        <v>14</v>
      </c>
      <c r="L406">
        <f t="shared" si="12"/>
        <v>3116</v>
      </c>
      <c r="M406" t="str">
        <f t="shared" si="13"/>
        <v>40-49</v>
      </c>
    </row>
    <row r="407" spans="1:13">
      <c r="A407" s="1">
        <v>406</v>
      </c>
      <c r="B407">
        <v>10</v>
      </c>
      <c r="C407">
        <v>35</v>
      </c>
      <c r="D407" t="s">
        <v>21</v>
      </c>
      <c r="E407" t="s">
        <v>12</v>
      </c>
      <c r="F407">
        <v>928</v>
      </c>
      <c r="G407">
        <v>1</v>
      </c>
      <c r="H407" s="2">
        <v>44878</v>
      </c>
      <c r="I407">
        <v>62</v>
      </c>
      <c r="J407" t="s">
        <v>13</v>
      </c>
      <c r="K407" t="s">
        <v>20</v>
      </c>
      <c r="L407">
        <f t="shared" si="12"/>
        <v>928</v>
      </c>
      <c r="M407" t="str">
        <f t="shared" si="13"/>
        <v>Above 60</v>
      </c>
    </row>
    <row r="408" spans="1:13">
      <c r="A408" s="1">
        <v>407</v>
      </c>
      <c r="B408">
        <v>15</v>
      </c>
      <c r="C408">
        <v>33</v>
      </c>
      <c r="D408" t="s">
        <v>15</v>
      </c>
      <c r="E408" t="s">
        <v>12</v>
      </c>
      <c r="F408">
        <v>505</v>
      </c>
      <c r="G408">
        <v>1</v>
      </c>
      <c r="H408" s="2">
        <v>44583</v>
      </c>
      <c r="I408">
        <v>51</v>
      </c>
      <c r="J408" t="s">
        <v>16</v>
      </c>
      <c r="K408" t="s">
        <v>20</v>
      </c>
      <c r="L408">
        <f t="shared" si="12"/>
        <v>505</v>
      </c>
      <c r="M408" t="str">
        <f t="shared" si="13"/>
        <v>50-59</v>
      </c>
    </row>
    <row r="409" spans="1:13">
      <c r="A409" s="1">
        <v>408</v>
      </c>
      <c r="B409">
        <v>17</v>
      </c>
      <c r="C409">
        <v>20</v>
      </c>
      <c r="D409" t="s">
        <v>15</v>
      </c>
      <c r="E409" t="s">
        <v>19</v>
      </c>
      <c r="F409">
        <v>155</v>
      </c>
      <c r="G409">
        <v>3</v>
      </c>
      <c r="H409" s="2">
        <v>44887</v>
      </c>
      <c r="I409">
        <v>40</v>
      </c>
      <c r="J409" t="s">
        <v>16</v>
      </c>
      <c r="K409" t="s">
        <v>30</v>
      </c>
      <c r="L409">
        <f t="shared" si="12"/>
        <v>465</v>
      </c>
      <c r="M409" t="str">
        <f t="shared" si="13"/>
        <v>40-49</v>
      </c>
    </row>
    <row r="410" spans="1:13">
      <c r="A410" s="1">
        <v>409</v>
      </c>
      <c r="B410">
        <v>168</v>
      </c>
      <c r="C410">
        <v>16</v>
      </c>
      <c r="D410" t="s">
        <v>31</v>
      </c>
      <c r="E410" t="s">
        <v>19</v>
      </c>
      <c r="F410">
        <v>84</v>
      </c>
      <c r="G410">
        <v>2</v>
      </c>
      <c r="H410" s="2">
        <v>44562</v>
      </c>
      <c r="I410">
        <v>54</v>
      </c>
      <c r="J410" t="s">
        <v>16</v>
      </c>
      <c r="K410" t="s">
        <v>30</v>
      </c>
      <c r="L410">
        <f t="shared" si="12"/>
        <v>168</v>
      </c>
      <c r="M410" t="str">
        <f t="shared" si="13"/>
        <v>50-59</v>
      </c>
    </row>
    <row r="411" spans="1:13">
      <c r="A411" s="1">
        <v>410</v>
      </c>
      <c r="B411">
        <v>146</v>
      </c>
      <c r="C411">
        <v>34</v>
      </c>
      <c r="D411" t="s">
        <v>11</v>
      </c>
      <c r="E411" t="s">
        <v>19</v>
      </c>
      <c r="F411">
        <v>251</v>
      </c>
      <c r="G411">
        <v>4</v>
      </c>
      <c r="H411" s="2">
        <v>44694</v>
      </c>
      <c r="I411">
        <v>28</v>
      </c>
      <c r="J411" t="s">
        <v>16</v>
      </c>
      <c r="K411" t="s">
        <v>20</v>
      </c>
      <c r="L411">
        <f t="shared" si="12"/>
        <v>1004</v>
      </c>
      <c r="M411" t="str">
        <f t="shared" si="13"/>
        <v>20-29</v>
      </c>
    </row>
    <row r="412" spans="1:13">
      <c r="A412" s="1">
        <v>411</v>
      </c>
      <c r="B412">
        <v>183</v>
      </c>
      <c r="C412">
        <v>2</v>
      </c>
      <c r="D412" t="s">
        <v>15</v>
      </c>
      <c r="E412" t="s">
        <v>12</v>
      </c>
      <c r="F412">
        <v>387</v>
      </c>
      <c r="G412">
        <v>3</v>
      </c>
      <c r="H412" s="2">
        <v>44794</v>
      </c>
      <c r="I412">
        <v>23</v>
      </c>
      <c r="J412" t="s">
        <v>13</v>
      </c>
      <c r="K412" t="s">
        <v>30</v>
      </c>
      <c r="L412">
        <f t="shared" si="12"/>
        <v>1161</v>
      </c>
      <c r="M412" t="str">
        <f t="shared" si="13"/>
        <v>20-29</v>
      </c>
    </row>
    <row r="413" spans="1:13">
      <c r="A413" s="1">
        <v>412</v>
      </c>
      <c r="B413">
        <v>153</v>
      </c>
      <c r="C413">
        <v>35</v>
      </c>
      <c r="D413" t="s">
        <v>25</v>
      </c>
      <c r="E413" t="s">
        <v>19</v>
      </c>
      <c r="F413">
        <v>928</v>
      </c>
      <c r="G413">
        <v>1</v>
      </c>
      <c r="H413" s="2">
        <v>44573</v>
      </c>
      <c r="I413">
        <v>35</v>
      </c>
      <c r="J413" t="s">
        <v>16</v>
      </c>
      <c r="K413" t="s">
        <v>14</v>
      </c>
      <c r="L413">
        <f t="shared" si="12"/>
        <v>928</v>
      </c>
      <c r="M413" t="str">
        <f t="shared" si="13"/>
        <v>30-39</v>
      </c>
    </row>
    <row r="414" spans="1:13">
      <c r="A414" s="1">
        <v>413</v>
      </c>
      <c r="B414">
        <v>59</v>
      </c>
      <c r="C414">
        <v>40</v>
      </c>
      <c r="D414" t="s">
        <v>27</v>
      </c>
      <c r="E414" t="s">
        <v>23</v>
      </c>
      <c r="F414">
        <v>102</v>
      </c>
      <c r="G414">
        <v>2</v>
      </c>
      <c r="H414" s="2">
        <v>44907</v>
      </c>
      <c r="I414">
        <v>38</v>
      </c>
      <c r="J414" t="s">
        <v>16</v>
      </c>
      <c r="K414" t="s">
        <v>24</v>
      </c>
      <c r="L414">
        <f t="shared" si="12"/>
        <v>204</v>
      </c>
      <c r="M414" t="str">
        <f t="shared" si="13"/>
        <v>30-39</v>
      </c>
    </row>
    <row r="415" spans="1:13">
      <c r="A415" s="1">
        <v>414</v>
      </c>
      <c r="B415">
        <v>78</v>
      </c>
      <c r="C415">
        <v>28</v>
      </c>
      <c r="D415" t="s">
        <v>11</v>
      </c>
      <c r="E415" t="s">
        <v>19</v>
      </c>
      <c r="F415">
        <v>155</v>
      </c>
      <c r="G415">
        <v>3</v>
      </c>
      <c r="H415" s="2">
        <v>44607</v>
      </c>
      <c r="I415">
        <v>59</v>
      </c>
      <c r="J415" t="s">
        <v>13</v>
      </c>
      <c r="K415" t="s">
        <v>14</v>
      </c>
      <c r="L415">
        <f t="shared" si="12"/>
        <v>465</v>
      </c>
      <c r="M415" t="str">
        <f t="shared" si="13"/>
        <v>50-59</v>
      </c>
    </row>
    <row r="416" spans="1:13">
      <c r="A416" s="1">
        <v>415</v>
      </c>
      <c r="B416">
        <v>124</v>
      </c>
      <c r="C416">
        <v>47</v>
      </c>
      <c r="D416" t="s">
        <v>25</v>
      </c>
      <c r="E416" t="s">
        <v>19</v>
      </c>
      <c r="F416">
        <v>798</v>
      </c>
      <c r="G416">
        <v>2</v>
      </c>
      <c r="H416" s="2">
        <v>44595</v>
      </c>
      <c r="I416">
        <v>53</v>
      </c>
      <c r="J416" t="s">
        <v>16</v>
      </c>
      <c r="K416" t="s">
        <v>20</v>
      </c>
      <c r="L416">
        <f t="shared" si="12"/>
        <v>1596</v>
      </c>
      <c r="M416" t="str">
        <f t="shared" si="13"/>
        <v>50-59</v>
      </c>
    </row>
    <row r="417" spans="1:13">
      <c r="A417" s="1">
        <v>416</v>
      </c>
      <c r="B417">
        <v>114</v>
      </c>
      <c r="C417">
        <v>39</v>
      </c>
      <c r="D417" t="s">
        <v>11</v>
      </c>
      <c r="E417" t="s">
        <v>19</v>
      </c>
      <c r="F417">
        <v>611</v>
      </c>
      <c r="G417">
        <v>3</v>
      </c>
      <c r="H417" s="2">
        <v>44639</v>
      </c>
      <c r="I417">
        <v>58</v>
      </c>
      <c r="J417" t="s">
        <v>16</v>
      </c>
      <c r="K417" t="s">
        <v>20</v>
      </c>
      <c r="L417">
        <f t="shared" si="12"/>
        <v>1833</v>
      </c>
      <c r="M417" t="str">
        <f t="shared" si="13"/>
        <v>50-59</v>
      </c>
    </row>
    <row r="418" spans="1:13">
      <c r="A418" s="1">
        <v>417</v>
      </c>
      <c r="B418">
        <v>22</v>
      </c>
      <c r="C418">
        <v>6</v>
      </c>
      <c r="D418" t="s">
        <v>25</v>
      </c>
      <c r="E418" t="s">
        <v>19</v>
      </c>
      <c r="F418">
        <v>301</v>
      </c>
      <c r="G418">
        <v>2</v>
      </c>
      <c r="H418" s="2">
        <v>44779</v>
      </c>
      <c r="I418">
        <v>55</v>
      </c>
      <c r="J418" t="s">
        <v>13</v>
      </c>
      <c r="K418" t="s">
        <v>14</v>
      </c>
      <c r="L418">
        <f t="shared" si="12"/>
        <v>602</v>
      </c>
      <c r="M418" t="str">
        <f t="shared" si="13"/>
        <v>50-59</v>
      </c>
    </row>
    <row r="419" spans="1:13">
      <c r="A419" s="1">
        <v>418</v>
      </c>
      <c r="B419">
        <v>158</v>
      </c>
      <c r="C419">
        <v>9</v>
      </c>
      <c r="D419" t="s">
        <v>21</v>
      </c>
      <c r="E419" t="s">
        <v>23</v>
      </c>
      <c r="F419">
        <v>439</v>
      </c>
      <c r="G419">
        <v>1</v>
      </c>
      <c r="H419" s="2">
        <v>44862</v>
      </c>
      <c r="I419">
        <v>51</v>
      </c>
      <c r="J419" t="s">
        <v>16</v>
      </c>
      <c r="K419" t="s">
        <v>30</v>
      </c>
      <c r="L419">
        <f t="shared" si="12"/>
        <v>439</v>
      </c>
      <c r="M419" t="str">
        <f t="shared" si="13"/>
        <v>50-59</v>
      </c>
    </row>
    <row r="420" spans="1:13">
      <c r="A420" s="1">
        <v>419</v>
      </c>
      <c r="B420">
        <v>172</v>
      </c>
      <c r="C420">
        <v>20</v>
      </c>
      <c r="D420" t="s">
        <v>25</v>
      </c>
      <c r="E420" t="s">
        <v>23</v>
      </c>
      <c r="F420">
        <v>395</v>
      </c>
      <c r="G420">
        <v>4</v>
      </c>
      <c r="H420" s="2">
        <v>44634</v>
      </c>
      <c r="I420">
        <v>34</v>
      </c>
      <c r="J420" t="s">
        <v>13</v>
      </c>
      <c r="K420" t="s">
        <v>30</v>
      </c>
      <c r="L420">
        <f t="shared" si="12"/>
        <v>1580</v>
      </c>
      <c r="M420" t="str">
        <f t="shared" si="13"/>
        <v>30-39</v>
      </c>
    </row>
    <row r="421" spans="1:13">
      <c r="A421" s="1">
        <v>420</v>
      </c>
      <c r="B421">
        <v>32</v>
      </c>
      <c r="C421">
        <v>1</v>
      </c>
      <c r="D421" t="s">
        <v>28</v>
      </c>
      <c r="E421" t="s">
        <v>12</v>
      </c>
      <c r="F421">
        <v>505</v>
      </c>
      <c r="G421">
        <v>1</v>
      </c>
      <c r="H421" s="2">
        <v>44843</v>
      </c>
      <c r="I421">
        <v>54</v>
      </c>
      <c r="J421" t="s">
        <v>13</v>
      </c>
      <c r="K421" t="s">
        <v>22</v>
      </c>
      <c r="L421">
        <f t="shared" si="12"/>
        <v>505</v>
      </c>
      <c r="M421" t="str">
        <f t="shared" si="13"/>
        <v>50-59</v>
      </c>
    </row>
    <row r="422" spans="1:13">
      <c r="A422" s="1">
        <v>421</v>
      </c>
      <c r="B422">
        <v>179</v>
      </c>
      <c r="C422">
        <v>8</v>
      </c>
      <c r="D422" t="s">
        <v>25</v>
      </c>
      <c r="E422" t="s">
        <v>19</v>
      </c>
      <c r="F422">
        <v>141</v>
      </c>
      <c r="G422">
        <v>4</v>
      </c>
      <c r="H422" s="2">
        <v>44810</v>
      </c>
      <c r="I422">
        <v>42</v>
      </c>
      <c r="J422" t="s">
        <v>13</v>
      </c>
      <c r="K422" t="s">
        <v>20</v>
      </c>
      <c r="L422">
        <f t="shared" si="12"/>
        <v>564</v>
      </c>
      <c r="M422" t="str">
        <f t="shared" si="13"/>
        <v>40-49</v>
      </c>
    </row>
    <row r="423" spans="1:13">
      <c r="A423" s="1">
        <v>422</v>
      </c>
      <c r="B423">
        <v>174</v>
      </c>
      <c r="C423">
        <v>23</v>
      </c>
      <c r="D423" t="s">
        <v>26</v>
      </c>
      <c r="E423" t="s">
        <v>23</v>
      </c>
      <c r="F423">
        <v>769</v>
      </c>
      <c r="G423">
        <v>2</v>
      </c>
      <c r="H423" s="2">
        <v>44608</v>
      </c>
      <c r="I423">
        <v>55</v>
      </c>
      <c r="J423" t="s">
        <v>13</v>
      </c>
      <c r="K423" t="s">
        <v>17</v>
      </c>
      <c r="L423">
        <f t="shared" si="12"/>
        <v>1538</v>
      </c>
      <c r="M423" t="str">
        <f t="shared" si="13"/>
        <v>50-59</v>
      </c>
    </row>
    <row r="424" spans="1:13">
      <c r="A424" s="1">
        <v>423</v>
      </c>
      <c r="B424">
        <v>113</v>
      </c>
      <c r="C424">
        <v>3</v>
      </c>
      <c r="D424" t="s">
        <v>26</v>
      </c>
      <c r="E424" t="s">
        <v>23</v>
      </c>
      <c r="F424">
        <v>921</v>
      </c>
      <c r="G424">
        <v>3</v>
      </c>
      <c r="H424" s="2">
        <v>44682</v>
      </c>
      <c r="I424">
        <v>29</v>
      </c>
      <c r="J424" t="s">
        <v>16</v>
      </c>
      <c r="K424" t="s">
        <v>22</v>
      </c>
      <c r="L424">
        <f t="shared" si="12"/>
        <v>2763</v>
      </c>
      <c r="M424" t="str">
        <f t="shared" si="13"/>
        <v>20-29</v>
      </c>
    </row>
    <row r="425" spans="1:13">
      <c r="A425" s="1">
        <v>424</v>
      </c>
      <c r="B425">
        <v>120</v>
      </c>
      <c r="C425">
        <v>4</v>
      </c>
      <c r="D425" t="s">
        <v>18</v>
      </c>
      <c r="E425" t="s">
        <v>19</v>
      </c>
      <c r="F425">
        <v>605</v>
      </c>
      <c r="G425">
        <v>1</v>
      </c>
      <c r="H425" s="2">
        <v>44775</v>
      </c>
      <c r="I425">
        <v>40</v>
      </c>
      <c r="J425" t="s">
        <v>13</v>
      </c>
      <c r="K425" t="s">
        <v>30</v>
      </c>
      <c r="L425">
        <f t="shared" si="12"/>
        <v>605</v>
      </c>
      <c r="M425" t="str">
        <f t="shared" si="13"/>
        <v>40-49</v>
      </c>
    </row>
    <row r="426" spans="1:13">
      <c r="A426" s="1">
        <v>425</v>
      </c>
      <c r="B426">
        <v>149</v>
      </c>
      <c r="C426">
        <v>25</v>
      </c>
      <c r="D426" t="s">
        <v>28</v>
      </c>
      <c r="E426" t="s">
        <v>23</v>
      </c>
      <c r="F426">
        <v>615</v>
      </c>
      <c r="G426">
        <v>4</v>
      </c>
      <c r="H426" s="2">
        <v>44800</v>
      </c>
      <c r="I426">
        <v>59</v>
      </c>
      <c r="J426" t="s">
        <v>16</v>
      </c>
      <c r="K426" t="s">
        <v>14</v>
      </c>
      <c r="L426">
        <f t="shared" si="12"/>
        <v>2460</v>
      </c>
      <c r="M426" t="str">
        <f t="shared" si="13"/>
        <v>50-59</v>
      </c>
    </row>
    <row r="427" spans="1:13">
      <c r="A427" s="1">
        <v>426</v>
      </c>
      <c r="B427">
        <v>122</v>
      </c>
      <c r="C427">
        <v>47</v>
      </c>
      <c r="D427" t="s">
        <v>28</v>
      </c>
      <c r="E427" t="s">
        <v>23</v>
      </c>
      <c r="F427">
        <v>319</v>
      </c>
      <c r="G427">
        <v>1</v>
      </c>
      <c r="H427" s="2">
        <v>44617</v>
      </c>
      <c r="I427">
        <v>39</v>
      </c>
      <c r="J427" t="s">
        <v>16</v>
      </c>
      <c r="K427" t="s">
        <v>30</v>
      </c>
      <c r="L427">
        <f t="shared" si="12"/>
        <v>319</v>
      </c>
      <c r="M427" t="str">
        <f t="shared" si="13"/>
        <v>30-39</v>
      </c>
    </row>
    <row r="428" spans="1:13">
      <c r="A428" s="1">
        <v>427</v>
      </c>
      <c r="B428">
        <v>32</v>
      </c>
      <c r="C428">
        <v>38</v>
      </c>
      <c r="D428" t="s">
        <v>27</v>
      </c>
      <c r="E428" t="s">
        <v>19</v>
      </c>
      <c r="F428">
        <v>605</v>
      </c>
      <c r="G428">
        <v>4</v>
      </c>
      <c r="H428" s="2">
        <v>44911</v>
      </c>
      <c r="I428">
        <v>38</v>
      </c>
      <c r="J428" t="s">
        <v>16</v>
      </c>
      <c r="K428" t="s">
        <v>14</v>
      </c>
      <c r="L428">
        <f t="shared" si="12"/>
        <v>2420</v>
      </c>
      <c r="M428" t="str">
        <f t="shared" si="13"/>
        <v>30-39</v>
      </c>
    </row>
    <row r="429" spans="1:13">
      <c r="A429" s="1">
        <v>428</v>
      </c>
      <c r="B429">
        <v>119</v>
      </c>
      <c r="C429">
        <v>15</v>
      </c>
      <c r="D429" t="s">
        <v>28</v>
      </c>
      <c r="E429" t="s">
        <v>19</v>
      </c>
      <c r="F429">
        <v>611</v>
      </c>
      <c r="G429">
        <v>1</v>
      </c>
      <c r="H429" s="2">
        <v>44668</v>
      </c>
      <c r="I429">
        <v>44</v>
      </c>
      <c r="J429" t="s">
        <v>16</v>
      </c>
      <c r="K429" t="s">
        <v>22</v>
      </c>
      <c r="L429">
        <f t="shared" si="12"/>
        <v>611</v>
      </c>
      <c r="M429" t="str">
        <f t="shared" si="13"/>
        <v>40-49</v>
      </c>
    </row>
    <row r="430" spans="1:13">
      <c r="A430" s="1">
        <v>429</v>
      </c>
      <c r="B430">
        <v>39</v>
      </c>
      <c r="C430">
        <v>21</v>
      </c>
      <c r="D430" t="s">
        <v>27</v>
      </c>
      <c r="E430" t="s">
        <v>19</v>
      </c>
      <c r="F430">
        <v>774</v>
      </c>
      <c r="G430">
        <v>4</v>
      </c>
      <c r="H430" s="2">
        <v>44880</v>
      </c>
      <c r="I430">
        <v>48</v>
      </c>
      <c r="J430" t="s">
        <v>16</v>
      </c>
      <c r="K430" t="s">
        <v>20</v>
      </c>
      <c r="L430">
        <f t="shared" si="12"/>
        <v>3096</v>
      </c>
      <c r="M430" t="str">
        <f t="shared" si="13"/>
        <v>40-49</v>
      </c>
    </row>
    <row r="431" spans="1:13">
      <c r="A431" s="1">
        <v>430</v>
      </c>
      <c r="B431">
        <v>12</v>
      </c>
      <c r="C431">
        <v>35</v>
      </c>
      <c r="D431" t="s">
        <v>18</v>
      </c>
      <c r="E431" t="s">
        <v>23</v>
      </c>
      <c r="F431">
        <v>251</v>
      </c>
      <c r="G431">
        <v>4</v>
      </c>
      <c r="H431" s="2">
        <v>44609</v>
      </c>
      <c r="I431">
        <v>23</v>
      </c>
      <c r="J431" t="s">
        <v>16</v>
      </c>
      <c r="K431" t="s">
        <v>30</v>
      </c>
      <c r="L431">
        <f t="shared" si="12"/>
        <v>1004</v>
      </c>
      <c r="M431" t="str">
        <f t="shared" si="13"/>
        <v>20-29</v>
      </c>
    </row>
    <row r="432" spans="1:13">
      <c r="A432" s="1">
        <v>431</v>
      </c>
      <c r="B432">
        <v>175</v>
      </c>
      <c r="C432">
        <v>46</v>
      </c>
      <c r="D432" t="s">
        <v>18</v>
      </c>
      <c r="E432" t="s">
        <v>23</v>
      </c>
      <c r="F432">
        <v>345</v>
      </c>
      <c r="G432">
        <v>2</v>
      </c>
      <c r="H432" s="2">
        <v>44622</v>
      </c>
      <c r="I432">
        <v>44</v>
      </c>
      <c r="J432" t="s">
        <v>16</v>
      </c>
      <c r="K432" t="s">
        <v>14</v>
      </c>
      <c r="L432">
        <f t="shared" si="12"/>
        <v>690</v>
      </c>
      <c r="M432" t="str">
        <f t="shared" si="13"/>
        <v>40-49</v>
      </c>
    </row>
    <row r="433" spans="1:13">
      <c r="A433" s="1">
        <v>432</v>
      </c>
      <c r="B433">
        <v>18</v>
      </c>
      <c r="C433">
        <v>14</v>
      </c>
      <c r="D433" t="s">
        <v>21</v>
      </c>
      <c r="E433" t="s">
        <v>23</v>
      </c>
      <c r="F433">
        <v>255</v>
      </c>
      <c r="G433">
        <v>4</v>
      </c>
      <c r="H433" s="2">
        <v>44898</v>
      </c>
      <c r="I433">
        <v>57</v>
      </c>
      <c r="J433" t="s">
        <v>16</v>
      </c>
      <c r="K433" t="s">
        <v>20</v>
      </c>
      <c r="L433">
        <f t="shared" si="12"/>
        <v>1020</v>
      </c>
      <c r="M433" t="str">
        <f t="shared" si="13"/>
        <v>50-59</v>
      </c>
    </row>
    <row r="434" spans="1:13">
      <c r="A434" s="1">
        <v>433</v>
      </c>
      <c r="B434">
        <v>149</v>
      </c>
      <c r="C434">
        <v>36</v>
      </c>
      <c r="D434" t="s">
        <v>26</v>
      </c>
      <c r="E434" t="s">
        <v>23</v>
      </c>
      <c r="F434">
        <v>558</v>
      </c>
      <c r="G434">
        <v>2</v>
      </c>
      <c r="H434" s="2">
        <v>44587</v>
      </c>
      <c r="I434">
        <v>51</v>
      </c>
      <c r="J434" t="s">
        <v>16</v>
      </c>
      <c r="K434" t="s">
        <v>17</v>
      </c>
      <c r="L434">
        <f t="shared" si="12"/>
        <v>1116</v>
      </c>
      <c r="M434" t="str">
        <f t="shared" si="13"/>
        <v>50-59</v>
      </c>
    </row>
    <row r="435" spans="1:13">
      <c r="A435" s="1">
        <v>434</v>
      </c>
      <c r="B435">
        <v>141</v>
      </c>
      <c r="C435">
        <v>12</v>
      </c>
      <c r="D435" t="s">
        <v>25</v>
      </c>
      <c r="E435" t="s">
        <v>12</v>
      </c>
      <c r="F435">
        <v>928</v>
      </c>
      <c r="G435">
        <v>4</v>
      </c>
      <c r="H435" s="2">
        <v>44853</v>
      </c>
      <c r="I435">
        <v>29</v>
      </c>
      <c r="J435" t="s">
        <v>16</v>
      </c>
      <c r="K435" t="s">
        <v>14</v>
      </c>
      <c r="L435">
        <f t="shared" si="12"/>
        <v>3712</v>
      </c>
      <c r="M435" t="str">
        <f t="shared" si="13"/>
        <v>20-29</v>
      </c>
    </row>
    <row r="436" spans="1:13">
      <c r="A436" s="1">
        <v>435</v>
      </c>
      <c r="B436">
        <v>149</v>
      </c>
      <c r="C436">
        <v>17</v>
      </c>
      <c r="D436" t="s">
        <v>25</v>
      </c>
      <c r="E436" t="s">
        <v>12</v>
      </c>
      <c r="F436">
        <v>320</v>
      </c>
      <c r="G436">
        <v>3</v>
      </c>
      <c r="H436" s="2">
        <v>44818</v>
      </c>
      <c r="I436">
        <v>62</v>
      </c>
      <c r="J436" t="s">
        <v>13</v>
      </c>
      <c r="K436" t="s">
        <v>22</v>
      </c>
      <c r="L436">
        <f t="shared" si="12"/>
        <v>960</v>
      </c>
      <c r="M436" t="str">
        <f t="shared" si="13"/>
        <v>Above 60</v>
      </c>
    </row>
    <row r="437" spans="1:13">
      <c r="A437" s="1">
        <v>436</v>
      </c>
      <c r="B437">
        <v>126</v>
      </c>
      <c r="C437">
        <v>39</v>
      </c>
      <c r="D437" t="s">
        <v>31</v>
      </c>
      <c r="E437" t="s">
        <v>23</v>
      </c>
      <c r="F437">
        <v>912</v>
      </c>
      <c r="G437">
        <v>3</v>
      </c>
      <c r="H437" s="2">
        <v>44569</v>
      </c>
      <c r="I437">
        <v>24</v>
      </c>
      <c r="J437" t="s">
        <v>13</v>
      </c>
      <c r="K437" t="s">
        <v>17</v>
      </c>
      <c r="L437">
        <f t="shared" si="12"/>
        <v>2736</v>
      </c>
      <c r="M437" t="str">
        <f t="shared" si="13"/>
        <v>20-29</v>
      </c>
    </row>
    <row r="438" spans="1:13">
      <c r="A438" s="1">
        <v>437</v>
      </c>
      <c r="B438">
        <v>136</v>
      </c>
      <c r="C438">
        <v>9</v>
      </c>
      <c r="D438" t="s">
        <v>31</v>
      </c>
      <c r="E438" t="s">
        <v>12</v>
      </c>
      <c r="F438">
        <v>477</v>
      </c>
      <c r="G438">
        <v>3</v>
      </c>
      <c r="H438" s="2">
        <v>44674</v>
      </c>
      <c r="I438">
        <v>27</v>
      </c>
      <c r="J438" t="s">
        <v>13</v>
      </c>
      <c r="K438" t="s">
        <v>17</v>
      </c>
      <c r="L438">
        <f t="shared" si="12"/>
        <v>1431</v>
      </c>
      <c r="M438" t="str">
        <f t="shared" si="13"/>
        <v>20-29</v>
      </c>
    </row>
    <row r="439" spans="1:13">
      <c r="A439" s="1">
        <v>438</v>
      </c>
      <c r="B439">
        <v>46</v>
      </c>
      <c r="C439">
        <v>35</v>
      </c>
      <c r="D439" t="s">
        <v>29</v>
      </c>
      <c r="E439" t="s">
        <v>12</v>
      </c>
      <c r="F439">
        <v>345</v>
      </c>
      <c r="G439">
        <v>4</v>
      </c>
      <c r="H439" s="2">
        <v>44916</v>
      </c>
      <c r="I439">
        <v>62</v>
      </c>
      <c r="J439" t="s">
        <v>16</v>
      </c>
      <c r="K439" t="s">
        <v>24</v>
      </c>
      <c r="L439">
        <f t="shared" si="12"/>
        <v>1380</v>
      </c>
      <c r="M439" t="str">
        <f t="shared" si="13"/>
        <v>Above 60</v>
      </c>
    </row>
    <row r="440" spans="1:13">
      <c r="A440" s="1">
        <v>439</v>
      </c>
      <c r="B440">
        <v>104</v>
      </c>
      <c r="C440">
        <v>13</v>
      </c>
      <c r="D440" t="s">
        <v>11</v>
      </c>
      <c r="E440" t="s">
        <v>19</v>
      </c>
      <c r="F440">
        <v>451</v>
      </c>
      <c r="G440">
        <v>2</v>
      </c>
      <c r="H440" s="2">
        <v>44814</v>
      </c>
      <c r="I440">
        <v>34</v>
      </c>
      <c r="J440" t="s">
        <v>13</v>
      </c>
      <c r="K440" t="s">
        <v>30</v>
      </c>
      <c r="L440">
        <f t="shared" si="12"/>
        <v>902</v>
      </c>
      <c r="M440" t="str">
        <f t="shared" si="13"/>
        <v>30-39</v>
      </c>
    </row>
    <row r="441" spans="1:13">
      <c r="A441" s="1">
        <v>440</v>
      </c>
      <c r="B441">
        <v>135</v>
      </c>
      <c r="C441">
        <v>15</v>
      </c>
      <c r="D441" t="s">
        <v>21</v>
      </c>
      <c r="E441" t="s">
        <v>19</v>
      </c>
      <c r="F441">
        <v>825</v>
      </c>
      <c r="G441">
        <v>2</v>
      </c>
      <c r="H441" s="2">
        <v>44741</v>
      </c>
      <c r="I441">
        <v>43</v>
      </c>
      <c r="J441" t="s">
        <v>13</v>
      </c>
      <c r="K441" t="s">
        <v>14</v>
      </c>
      <c r="L441">
        <f t="shared" si="12"/>
        <v>1650</v>
      </c>
      <c r="M441" t="str">
        <f t="shared" si="13"/>
        <v>40-49</v>
      </c>
    </row>
    <row r="442" spans="1:13">
      <c r="A442" s="1">
        <v>441</v>
      </c>
      <c r="B442">
        <v>151</v>
      </c>
      <c r="C442">
        <v>18</v>
      </c>
      <c r="D442" t="s">
        <v>29</v>
      </c>
      <c r="E442" t="s">
        <v>19</v>
      </c>
      <c r="F442">
        <v>255</v>
      </c>
      <c r="G442">
        <v>4</v>
      </c>
      <c r="H442" s="2">
        <v>44768</v>
      </c>
      <c r="I442">
        <v>38</v>
      </c>
      <c r="J442" t="s">
        <v>13</v>
      </c>
      <c r="K442" t="s">
        <v>17</v>
      </c>
      <c r="L442">
        <f t="shared" si="12"/>
        <v>1020</v>
      </c>
      <c r="M442" t="str">
        <f t="shared" si="13"/>
        <v>30-39</v>
      </c>
    </row>
    <row r="443" spans="1:13">
      <c r="A443" s="1">
        <v>442</v>
      </c>
      <c r="B443">
        <v>86</v>
      </c>
      <c r="C443">
        <v>33</v>
      </c>
      <c r="D443" t="s">
        <v>29</v>
      </c>
      <c r="E443" t="s">
        <v>19</v>
      </c>
      <c r="F443">
        <v>776</v>
      </c>
      <c r="G443">
        <v>3</v>
      </c>
      <c r="H443" s="2">
        <v>44864</v>
      </c>
      <c r="I443">
        <v>45</v>
      </c>
      <c r="J443" t="s">
        <v>16</v>
      </c>
      <c r="K443" t="s">
        <v>24</v>
      </c>
      <c r="L443">
        <f t="shared" si="12"/>
        <v>2328</v>
      </c>
      <c r="M443" t="str">
        <f t="shared" si="13"/>
        <v>40-49</v>
      </c>
    </row>
    <row r="444" spans="1:13">
      <c r="A444" s="1">
        <v>443</v>
      </c>
      <c r="B444">
        <v>150</v>
      </c>
      <c r="C444">
        <v>6</v>
      </c>
      <c r="D444" t="s">
        <v>15</v>
      </c>
      <c r="E444" t="s">
        <v>12</v>
      </c>
      <c r="F444">
        <v>928</v>
      </c>
      <c r="G444">
        <v>3</v>
      </c>
      <c r="H444" s="2">
        <v>44688</v>
      </c>
      <c r="I444">
        <v>63</v>
      </c>
      <c r="J444" t="s">
        <v>16</v>
      </c>
      <c r="K444" t="s">
        <v>22</v>
      </c>
      <c r="L444">
        <f t="shared" si="12"/>
        <v>2784</v>
      </c>
      <c r="M444" t="str">
        <f t="shared" si="13"/>
        <v>Above 60</v>
      </c>
    </row>
    <row r="445" spans="1:13">
      <c r="A445" s="1">
        <v>444</v>
      </c>
      <c r="B445">
        <v>89</v>
      </c>
      <c r="C445">
        <v>27</v>
      </c>
      <c r="D445" t="s">
        <v>15</v>
      </c>
      <c r="E445" t="s">
        <v>19</v>
      </c>
      <c r="F445">
        <v>437</v>
      </c>
      <c r="G445">
        <v>2</v>
      </c>
      <c r="H445" s="2">
        <v>44617</v>
      </c>
      <c r="I445">
        <v>19</v>
      </c>
      <c r="J445" t="s">
        <v>16</v>
      </c>
      <c r="K445" t="s">
        <v>20</v>
      </c>
      <c r="L445">
        <f t="shared" si="12"/>
        <v>874</v>
      </c>
      <c r="M445" t="str">
        <f t="shared" si="13"/>
        <v>Under 20</v>
      </c>
    </row>
    <row r="446" spans="1:13">
      <c r="A446" s="1">
        <v>445</v>
      </c>
      <c r="B446">
        <v>22</v>
      </c>
      <c r="C446">
        <v>23</v>
      </c>
      <c r="D446" t="s">
        <v>29</v>
      </c>
      <c r="E446" t="s">
        <v>12</v>
      </c>
      <c r="F446">
        <v>130</v>
      </c>
      <c r="G446">
        <v>3</v>
      </c>
      <c r="H446" s="2">
        <v>44775</v>
      </c>
      <c r="I446">
        <v>60</v>
      </c>
      <c r="J446" t="s">
        <v>16</v>
      </c>
      <c r="K446" t="s">
        <v>14</v>
      </c>
      <c r="L446">
        <f t="shared" si="12"/>
        <v>390</v>
      </c>
      <c r="M446" t="str">
        <f t="shared" si="13"/>
        <v>Above 60</v>
      </c>
    </row>
    <row r="447" spans="1:13">
      <c r="A447" s="1">
        <v>446</v>
      </c>
      <c r="B447">
        <v>92</v>
      </c>
      <c r="C447">
        <v>27</v>
      </c>
      <c r="D447" t="s">
        <v>28</v>
      </c>
      <c r="E447" t="s">
        <v>23</v>
      </c>
      <c r="F447">
        <v>451</v>
      </c>
      <c r="G447">
        <v>1</v>
      </c>
      <c r="H447" s="2">
        <v>44575</v>
      </c>
      <c r="I447">
        <v>18</v>
      </c>
      <c r="J447" t="s">
        <v>13</v>
      </c>
      <c r="K447" t="s">
        <v>17</v>
      </c>
      <c r="L447">
        <f t="shared" si="12"/>
        <v>451</v>
      </c>
      <c r="M447" t="str">
        <f t="shared" si="13"/>
        <v>Under 20</v>
      </c>
    </row>
    <row r="448" spans="1:13">
      <c r="A448" s="1">
        <v>447</v>
      </c>
      <c r="B448">
        <v>29</v>
      </c>
      <c r="C448">
        <v>34</v>
      </c>
      <c r="D448" t="s">
        <v>11</v>
      </c>
      <c r="E448" t="s">
        <v>19</v>
      </c>
      <c r="F448">
        <v>821</v>
      </c>
      <c r="G448">
        <v>2</v>
      </c>
      <c r="H448" s="2">
        <v>44589</v>
      </c>
      <c r="I448">
        <v>53</v>
      </c>
      <c r="J448" t="s">
        <v>13</v>
      </c>
      <c r="K448" t="s">
        <v>30</v>
      </c>
      <c r="L448">
        <f t="shared" si="12"/>
        <v>1642</v>
      </c>
      <c r="M448" t="str">
        <f t="shared" si="13"/>
        <v>50-59</v>
      </c>
    </row>
    <row r="449" spans="1:13">
      <c r="A449" s="1">
        <v>448</v>
      </c>
      <c r="B449">
        <v>13</v>
      </c>
      <c r="C449">
        <v>46</v>
      </c>
      <c r="D449" t="s">
        <v>21</v>
      </c>
      <c r="E449" t="s">
        <v>12</v>
      </c>
      <c r="F449">
        <v>504</v>
      </c>
      <c r="G449">
        <v>3</v>
      </c>
      <c r="H449" s="2">
        <v>44639</v>
      </c>
      <c r="I449">
        <v>43</v>
      </c>
      <c r="J449" t="s">
        <v>13</v>
      </c>
      <c r="K449" t="s">
        <v>24</v>
      </c>
      <c r="L449">
        <f t="shared" si="12"/>
        <v>1512</v>
      </c>
      <c r="M449" t="str">
        <f t="shared" si="13"/>
        <v>40-49</v>
      </c>
    </row>
    <row r="450" spans="1:13">
      <c r="A450" s="1">
        <v>449</v>
      </c>
      <c r="B450">
        <v>2</v>
      </c>
      <c r="C450">
        <v>38</v>
      </c>
      <c r="D450" t="s">
        <v>29</v>
      </c>
      <c r="E450" t="s">
        <v>23</v>
      </c>
      <c r="F450">
        <v>774</v>
      </c>
      <c r="G450">
        <v>2</v>
      </c>
      <c r="H450" s="2">
        <v>44777</v>
      </c>
      <c r="I450">
        <v>46</v>
      </c>
      <c r="J450" t="s">
        <v>13</v>
      </c>
      <c r="K450" t="s">
        <v>17</v>
      </c>
      <c r="L450">
        <f t="shared" si="12"/>
        <v>1548</v>
      </c>
      <c r="M450" t="str">
        <f t="shared" si="13"/>
        <v>40-49</v>
      </c>
    </row>
    <row r="451" spans="1:13">
      <c r="A451" s="1">
        <v>450</v>
      </c>
      <c r="B451">
        <v>29</v>
      </c>
      <c r="C451">
        <v>14</v>
      </c>
      <c r="D451" t="s">
        <v>25</v>
      </c>
      <c r="E451" t="s">
        <v>19</v>
      </c>
      <c r="F451">
        <v>477</v>
      </c>
      <c r="G451">
        <v>1</v>
      </c>
      <c r="H451" s="2">
        <v>44926</v>
      </c>
      <c r="I451">
        <v>38</v>
      </c>
      <c r="J451" t="s">
        <v>16</v>
      </c>
      <c r="K451" t="s">
        <v>30</v>
      </c>
      <c r="L451">
        <f t="shared" ref="L451:L501" si="14">F451*G451</f>
        <v>477</v>
      </c>
      <c r="M451" t="str">
        <f t="shared" ref="M451:M501" si="15">IF(I451&lt;20,"Under 20",IF(I451&lt;30,"20-29",IF(I451&lt;40,"30-39",IF(I451&lt;50,"40-49",IF(I451&lt;60,"50-59","Above 60")))))</f>
        <v>30-39</v>
      </c>
    </row>
    <row r="452" spans="1:13">
      <c r="A452" s="1">
        <v>451</v>
      </c>
      <c r="B452">
        <v>180</v>
      </c>
      <c r="C452">
        <v>36</v>
      </c>
      <c r="D452" t="s">
        <v>11</v>
      </c>
      <c r="E452" t="s">
        <v>19</v>
      </c>
      <c r="F452">
        <v>928</v>
      </c>
      <c r="G452">
        <v>2</v>
      </c>
      <c r="H452" s="2">
        <v>44715</v>
      </c>
      <c r="I452">
        <v>28</v>
      </c>
      <c r="J452" t="s">
        <v>16</v>
      </c>
      <c r="K452" t="s">
        <v>17</v>
      </c>
      <c r="L452">
        <f t="shared" si="14"/>
        <v>1856</v>
      </c>
      <c r="M452" t="str">
        <f t="shared" si="15"/>
        <v>20-29</v>
      </c>
    </row>
    <row r="453" spans="1:13">
      <c r="A453" s="1">
        <v>452</v>
      </c>
      <c r="B453">
        <v>27</v>
      </c>
      <c r="C453">
        <v>8</v>
      </c>
      <c r="D453" t="s">
        <v>15</v>
      </c>
      <c r="E453" t="s">
        <v>19</v>
      </c>
      <c r="F453">
        <v>319</v>
      </c>
      <c r="G453">
        <v>2</v>
      </c>
      <c r="H453" s="2">
        <v>44575</v>
      </c>
      <c r="I453">
        <v>57</v>
      </c>
      <c r="J453" t="s">
        <v>16</v>
      </c>
      <c r="K453" t="s">
        <v>14</v>
      </c>
      <c r="L453">
        <f t="shared" si="14"/>
        <v>638</v>
      </c>
      <c r="M453" t="str">
        <f t="shared" si="15"/>
        <v>50-59</v>
      </c>
    </row>
    <row r="454" spans="1:13">
      <c r="A454" s="1">
        <v>453</v>
      </c>
      <c r="B454">
        <v>50</v>
      </c>
      <c r="C454">
        <v>35</v>
      </c>
      <c r="D454" t="s">
        <v>25</v>
      </c>
      <c r="E454" t="s">
        <v>19</v>
      </c>
      <c r="F454">
        <v>319</v>
      </c>
      <c r="G454">
        <v>2</v>
      </c>
      <c r="H454" s="2">
        <v>44748</v>
      </c>
      <c r="I454">
        <v>28</v>
      </c>
      <c r="J454" t="s">
        <v>13</v>
      </c>
      <c r="K454" t="s">
        <v>14</v>
      </c>
      <c r="L454">
        <f t="shared" si="14"/>
        <v>638</v>
      </c>
      <c r="M454" t="str">
        <f t="shared" si="15"/>
        <v>20-29</v>
      </c>
    </row>
    <row r="455" spans="1:13">
      <c r="A455" s="1">
        <v>454</v>
      </c>
      <c r="B455">
        <v>95</v>
      </c>
      <c r="C455">
        <v>19</v>
      </c>
      <c r="D455" t="s">
        <v>15</v>
      </c>
      <c r="E455" t="s">
        <v>23</v>
      </c>
      <c r="F455">
        <v>437</v>
      </c>
      <c r="G455">
        <v>2</v>
      </c>
      <c r="H455" s="2">
        <v>44873</v>
      </c>
      <c r="I455">
        <v>53</v>
      </c>
      <c r="J455" t="s">
        <v>16</v>
      </c>
      <c r="K455" t="s">
        <v>14</v>
      </c>
      <c r="L455">
        <f t="shared" si="14"/>
        <v>874</v>
      </c>
      <c r="M455" t="str">
        <f t="shared" si="15"/>
        <v>50-59</v>
      </c>
    </row>
    <row r="456" spans="1:13">
      <c r="A456" s="1">
        <v>455</v>
      </c>
      <c r="B456">
        <v>151</v>
      </c>
      <c r="C456">
        <v>30</v>
      </c>
      <c r="D456" t="s">
        <v>15</v>
      </c>
      <c r="E456" t="s">
        <v>23</v>
      </c>
      <c r="F456">
        <v>614</v>
      </c>
      <c r="G456">
        <v>1</v>
      </c>
      <c r="H456" s="2">
        <v>44568</v>
      </c>
      <c r="I456">
        <v>56</v>
      </c>
      <c r="J456" t="s">
        <v>16</v>
      </c>
      <c r="K456" t="s">
        <v>22</v>
      </c>
      <c r="L456">
        <f t="shared" si="14"/>
        <v>614</v>
      </c>
      <c r="M456" t="str">
        <f t="shared" si="15"/>
        <v>50-59</v>
      </c>
    </row>
    <row r="457" spans="1:13">
      <c r="A457" s="1">
        <v>456</v>
      </c>
      <c r="B457">
        <v>88</v>
      </c>
      <c r="C457">
        <v>14</v>
      </c>
      <c r="D457" t="s">
        <v>11</v>
      </c>
      <c r="E457" t="s">
        <v>12</v>
      </c>
      <c r="F457">
        <v>558</v>
      </c>
      <c r="G457">
        <v>4</v>
      </c>
      <c r="H457" s="2">
        <v>44564</v>
      </c>
      <c r="I457">
        <v>57</v>
      </c>
      <c r="J457" t="s">
        <v>13</v>
      </c>
      <c r="K457" t="s">
        <v>22</v>
      </c>
      <c r="L457">
        <f t="shared" si="14"/>
        <v>2232</v>
      </c>
      <c r="M457" t="str">
        <f t="shared" si="15"/>
        <v>50-59</v>
      </c>
    </row>
    <row r="458" spans="1:13">
      <c r="A458" s="1">
        <v>457</v>
      </c>
      <c r="B458">
        <v>44</v>
      </c>
      <c r="C458">
        <v>20</v>
      </c>
      <c r="D458" t="s">
        <v>15</v>
      </c>
      <c r="E458" t="s">
        <v>12</v>
      </c>
      <c r="F458">
        <v>301</v>
      </c>
      <c r="G458">
        <v>2</v>
      </c>
      <c r="H458" s="2">
        <v>44672</v>
      </c>
      <c r="I458">
        <v>52</v>
      </c>
      <c r="J458" t="s">
        <v>13</v>
      </c>
      <c r="K458" t="s">
        <v>24</v>
      </c>
      <c r="L458">
        <f t="shared" si="14"/>
        <v>602</v>
      </c>
      <c r="M458" t="str">
        <f t="shared" si="15"/>
        <v>50-59</v>
      </c>
    </row>
    <row r="459" spans="1:13">
      <c r="A459" s="1">
        <v>458</v>
      </c>
      <c r="B459">
        <v>22</v>
      </c>
      <c r="C459">
        <v>49</v>
      </c>
      <c r="D459" t="s">
        <v>18</v>
      </c>
      <c r="E459" t="s">
        <v>12</v>
      </c>
      <c r="F459">
        <v>928</v>
      </c>
      <c r="G459">
        <v>2</v>
      </c>
      <c r="H459" s="2">
        <v>44799</v>
      </c>
      <c r="I459">
        <v>51</v>
      </c>
      <c r="J459" t="s">
        <v>16</v>
      </c>
      <c r="K459" t="s">
        <v>14</v>
      </c>
      <c r="L459">
        <f t="shared" si="14"/>
        <v>1856</v>
      </c>
      <c r="M459" t="str">
        <f t="shared" si="15"/>
        <v>50-59</v>
      </c>
    </row>
    <row r="460" spans="1:13">
      <c r="A460" s="1">
        <v>459</v>
      </c>
      <c r="B460">
        <v>171</v>
      </c>
      <c r="C460">
        <v>25</v>
      </c>
      <c r="D460" t="s">
        <v>26</v>
      </c>
      <c r="E460" t="s">
        <v>23</v>
      </c>
      <c r="F460">
        <v>345</v>
      </c>
      <c r="G460">
        <v>3</v>
      </c>
      <c r="H460" s="2">
        <v>44924</v>
      </c>
      <c r="I460">
        <v>64</v>
      </c>
      <c r="J460" t="s">
        <v>16</v>
      </c>
      <c r="K460" t="s">
        <v>30</v>
      </c>
      <c r="L460">
        <f t="shared" si="14"/>
        <v>1035</v>
      </c>
      <c r="M460" t="str">
        <f t="shared" si="15"/>
        <v>Above 60</v>
      </c>
    </row>
    <row r="461" spans="1:13">
      <c r="A461" s="1">
        <v>460</v>
      </c>
      <c r="B461">
        <v>165</v>
      </c>
      <c r="C461">
        <v>40</v>
      </c>
      <c r="D461" t="s">
        <v>18</v>
      </c>
      <c r="E461" t="s">
        <v>23</v>
      </c>
      <c r="F461">
        <v>826</v>
      </c>
      <c r="G461">
        <v>2</v>
      </c>
      <c r="H461" s="2">
        <v>44800</v>
      </c>
      <c r="I461">
        <v>41</v>
      </c>
      <c r="J461" t="s">
        <v>16</v>
      </c>
      <c r="K461" t="s">
        <v>17</v>
      </c>
      <c r="L461">
        <f t="shared" si="14"/>
        <v>1652</v>
      </c>
      <c r="M461" t="str">
        <f t="shared" si="15"/>
        <v>40-49</v>
      </c>
    </row>
    <row r="462" spans="1:13">
      <c r="A462" s="1">
        <v>461</v>
      </c>
      <c r="B462">
        <v>189</v>
      </c>
      <c r="C462">
        <v>24</v>
      </c>
      <c r="D462" t="s">
        <v>26</v>
      </c>
      <c r="E462" t="s">
        <v>19</v>
      </c>
      <c r="F462">
        <v>779</v>
      </c>
      <c r="G462">
        <v>3</v>
      </c>
      <c r="H462" s="2">
        <v>44835</v>
      </c>
      <c r="I462">
        <v>39</v>
      </c>
      <c r="J462" t="s">
        <v>16</v>
      </c>
      <c r="K462" t="s">
        <v>20</v>
      </c>
      <c r="L462">
        <f t="shared" si="14"/>
        <v>2337</v>
      </c>
      <c r="M462" t="str">
        <f t="shared" si="15"/>
        <v>30-39</v>
      </c>
    </row>
    <row r="463" spans="1:13">
      <c r="A463" s="1">
        <v>462</v>
      </c>
      <c r="B463">
        <v>97</v>
      </c>
      <c r="C463">
        <v>14</v>
      </c>
      <c r="D463" t="s">
        <v>31</v>
      </c>
      <c r="E463" t="s">
        <v>19</v>
      </c>
      <c r="F463">
        <v>971</v>
      </c>
      <c r="G463">
        <v>4</v>
      </c>
      <c r="H463" s="2">
        <v>44855</v>
      </c>
      <c r="I463">
        <v>22</v>
      </c>
      <c r="J463" t="s">
        <v>16</v>
      </c>
      <c r="K463" t="s">
        <v>30</v>
      </c>
      <c r="L463">
        <f t="shared" si="14"/>
        <v>3884</v>
      </c>
      <c r="M463" t="str">
        <f t="shared" si="15"/>
        <v>20-29</v>
      </c>
    </row>
    <row r="464" spans="1:13">
      <c r="A464" s="1">
        <v>463</v>
      </c>
      <c r="B464">
        <v>184</v>
      </c>
      <c r="C464">
        <v>26</v>
      </c>
      <c r="D464" t="s">
        <v>31</v>
      </c>
      <c r="E464" t="s">
        <v>12</v>
      </c>
      <c r="F464">
        <v>912</v>
      </c>
      <c r="G464">
        <v>1</v>
      </c>
      <c r="H464" s="2">
        <v>44788</v>
      </c>
      <c r="I464">
        <v>50</v>
      </c>
      <c r="J464" t="s">
        <v>16</v>
      </c>
      <c r="K464" t="s">
        <v>22</v>
      </c>
      <c r="L464">
        <f t="shared" si="14"/>
        <v>912</v>
      </c>
      <c r="M464" t="str">
        <f t="shared" si="15"/>
        <v>50-59</v>
      </c>
    </row>
    <row r="465" spans="1:13">
      <c r="A465" s="1">
        <v>464</v>
      </c>
      <c r="B465">
        <v>3</v>
      </c>
      <c r="C465">
        <v>38</v>
      </c>
      <c r="D465" t="s">
        <v>15</v>
      </c>
      <c r="E465" t="s">
        <v>12</v>
      </c>
      <c r="F465">
        <v>84</v>
      </c>
      <c r="G465">
        <v>1</v>
      </c>
      <c r="H465" s="2">
        <v>44576</v>
      </c>
      <c r="I465">
        <v>53</v>
      </c>
      <c r="J465" t="s">
        <v>13</v>
      </c>
      <c r="K465" t="s">
        <v>22</v>
      </c>
      <c r="L465">
        <f t="shared" si="14"/>
        <v>84</v>
      </c>
      <c r="M465" t="str">
        <f t="shared" si="15"/>
        <v>50-59</v>
      </c>
    </row>
    <row r="466" spans="1:13">
      <c r="A466" s="1">
        <v>465</v>
      </c>
      <c r="B466">
        <v>191</v>
      </c>
      <c r="C466">
        <v>23</v>
      </c>
      <c r="D466" t="s">
        <v>21</v>
      </c>
      <c r="E466" t="s">
        <v>12</v>
      </c>
      <c r="F466">
        <v>826</v>
      </c>
      <c r="G466">
        <v>4</v>
      </c>
      <c r="H466" s="2">
        <v>44753</v>
      </c>
      <c r="I466">
        <v>64</v>
      </c>
      <c r="J466" t="s">
        <v>13</v>
      </c>
      <c r="K466" t="s">
        <v>30</v>
      </c>
      <c r="L466">
        <f t="shared" si="14"/>
        <v>3304</v>
      </c>
      <c r="M466" t="str">
        <f t="shared" si="15"/>
        <v>Above 60</v>
      </c>
    </row>
    <row r="467" spans="1:13">
      <c r="A467" s="1">
        <v>466</v>
      </c>
      <c r="B467">
        <v>118</v>
      </c>
      <c r="C467">
        <v>22</v>
      </c>
      <c r="D467" t="s">
        <v>21</v>
      </c>
      <c r="E467" t="s">
        <v>19</v>
      </c>
      <c r="F467">
        <v>912</v>
      </c>
      <c r="G467">
        <v>1</v>
      </c>
      <c r="H467" s="2">
        <v>44680</v>
      </c>
      <c r="I467">
        <v>37</v>
      </c>
      <c r="J467" t="s">
        <v>13</v>
      </c>
      <c r="K467" t="s">
        <v>22</v>
      </c>
      <c r="L467">
        <f t="shared" si="14"/>
        <v>912</v>
      </c>
      <c r="M467" t="str">
        <f t="shared" si="15"/>
        <v>30-39</v>
      </c>
    </row>
    <row r="468" spans="1:13">
      <c r="A468" s="1">
        <v>467</v>
      </c>
      <c r="B468">
        <v>19</v>
      </c>
      <c r="C468">
        <v>48</v>
      </c>
      <c r="D468" t="s">
        <v>26</v>
      </c>
      <c r="E468" t="s">
        <v>12</v>
      </c>
      <c r="F468">
        <v>779</v>
      </c>
      <c r="G468">
        <v>4</v>
      </c>
      <c r="H468" s="2">
        <v>44589</v>
      </c>
      <c r="I468">
        <v>36</v>
      </c>
      <c r="J468" t="s">
        <v>16</v>
      </c>
      <c r="K468" t="s">
        <v>14</v>
      </c>
      <c r="L468">
        <f t="shared" si="14"/>
        <v>3116</v>
      </c>
      <c r="M468" t="str">
        <f t="shared" si="15"/>
        <v>30-39</v>
      </c>
    </row>
    <row r="469" spans="1:13">
      <c r="A469" s="1">
        <v>468</v>
      </c>
      <c r="B469">
        <v>23</v>
      </c>
      <c r="C469">
        <v>19</v>
      </c>
      <c r="D469" t="s">
        <v>25</v>
      </c>
      <c r="E469" t="s">
        <v>23</v>
      </c>
      <c r="F469">
        <v>102</v>
      </c>
      <c r="G469">
        <v>4</v>
      </c>
      <c r="H469" s="2">
        <v>44763</v>
      </c>
      <c r="I469">
        <v>52</v>
      </c>
      <c r="J469" t="s">
        <v>13</v>
      </c>
      <c r="K469" t="s">
        <v>24</v>
      </c>
      <c r="L469">
        <f t="shared" si="14"/>
        <v>408</v>
      </c>
      <c r="M469" t="str">
        <f t="shared" si="15"/>
        <v>50-59</v>
      </c>
    </row>
    <row r="470" spans="1:13">
      <c r="A470" s="1">
        <v>469</v>
      </c>
      <c r="B470">
        <v>157</v>
      </c>
      <c r="C470">
        <v>46</v>
      </c>
      <c r="D470" t="s">
        <v>11</v>
      </c>
      <c r="E470" t="s">
        <v>23</v>
      </c>
      <c r="F470">
        <v>928</v>
      </c>
      <c r="G470">
        <v>4</v>
      </c>
      <c r="H470" s="2">
        <v>44600</v>
      </c>
      <c r="I470">
        <v>60</v>
      </c>
      <c r="J470" t="s">
        <v>16</v>
      </c>
      <c r="K470" t="s">
        <v>17</v>
      </c>
      <c r="L470">
        <f t="shared" si="14"/>
        <v>3712</v>
      </c>
      <c r="M470" t="str">
        <f t="shared" si="15"/>
        <v>Above 60</v>
      </c>
    </row>
    <row r="471" spans="1:13">
      <c r="A471" s="1">
        <v>470</v>
      </c>
      <c r="B471">
        <v>30</v>
      </c>
      <c r="C471">
        <v>3</v>
      </c>
      <c r="D471" t="s">
        <v>15</v>
      </c>
      <c r="E471" t="s">
        <v>12</v>
      </c>
      <c r="F471">
        <v>84</v>
      </c>
      <c r="G471">
        <v>1</v>
      </c>
      <c r="H471" s="2">
        <v>44834</v>
      </c>
      <c r="I471">
        <v>34</v>
      </c>
      <c r="J471" t="s">
        <v>16</v>
      </c>
      <c r="K471" t="s">
        <v>24</v>
      </c>
      <c r="L471">
        <f t="shared" si="14"/>
        <v>84</v>
      </c>
      <c r="M471" t="str">
        <f t="shared" si="15"/>
        <v>30-39</v>
      </c>
    </row>
    <row r="472" spans="1:13">
      <c r="A472" s="1">
        <v>471</v>
      </c>
      <c r="B472">
        <v>39</v>
      </c>
      <c r="C472">
        <v>42</v>
      </c>
      <c r="D472" t="s">
        <v>11</v>
      </c>
      <c r="E472" t="s">
        <v>12</v>
      </c>
      <c r="F472">
        <v>102</v>
      </c>
      <c r="G472">
        <v>3</v>
      </c>
      <c r="H472" s="2">
        <v>44792</v>
      </c>
      <c r="I472">
        <v>62</v>
      </c>
      <c r="J472" t="s">
        <v>13</v>
      </c>
      <c r="K472" t="s">
        <v>17</v>
      </c>
      <c r="L472">
        <f t="shared" si="14"/>
        <v>306</v>
      </c>
      <c r="M472" t="str">
        <f t="shared" si="15"/>
        <v>Above 60</v>
      </c>
    </row>
    <row r="473" spans="1:13">
      <c r="A473" s="1">
        <v>472</v>
      </c>
      <c r="B473">
        <v>108</v>
      </c>
      <c r="C473">
        <v>19</v>
      </c>
      <c r="D473" t="s">
        <v>18</v>
      </c>
      <c r="E473" t="s">
        <v>12</v>
      </c>
      <c r="F473">
        <v>841</v>
      </c>
      <c r="G473">
        <v>4</v>
      </c>
      <c r="H473" s="2">
        <v>44647</v>
      </c>
      <c r="I473">
        <v>60</v>
      </c>
      <c r="J473" t="s">
        <v>16</v>
      </c>
      <c r="K473" t="s">
        <v>17</v>
      </c>
      <c r="L473">
        <f t="shared" si="14"/>
        <v>3364</v>
      </c>
      <c r="M473" t="str">
        <f t="shared" si="15"/>
        <v>Above 60</v>
      </c>
    </row>
    <row r="474" spans="1:13">
      <c r="A474" s="1">
        <v>473</v>
      </c>
      <c r="B474">
        <v>111</v>
      </c>
      <c r="C474">
        <v>9</v>
      </c>
      <c r="D474" t="s">
        <v>21</v>
      </c>
      <c r="E474" t="s">
        <v>12</v>
      </c>
      <c r="F474">
        <v>779</v>
      </c>
      <c r="G474">
        <v>2</v>
      </c>
      <c r="H474" s="2">
        <v>44687</v>
      </c>
      <c r="I474">
        <v>51</v>
      </c>
      <c r="J474" t="s">
        <v>16</v>
      </c>
      <c r="K474" t="s">
        <v>24</v>
      </c>
      <c r="L474">
        <f t="shared" si="14"/>
        <v>1558</v>
      </c>
      <c r="M474" t="str">
        <f t="shared" si="15"/>
        <v>50-59</v>
      </c>
    </row>
    <row r="475" spans="1:13">
      <c r="A475" s="1">
        <v>474</v>
      </c>
      <c r="B475">
        <v>25</v>
      </c>
      <c r="C475">
        <v>28</v>
      </c>
      <c r="D475" t="s">
        <v>28</v>
      </c>
      <c r="E475" t="s">
        <v>12</v>
      </c>
      <c r="F475">
        <v>776</v>
      </c>
      <c r="G475">
        <v>1</v>
      </c>
      <c r="H475" s="2">
        <v>44861</v>
      </c>
      <c r="I475">
        <v>26</v>
      </c>
      <c r="J475" t="s">
        <v>13</v>
      </c>
      <c r="K475" t="s">
        <v>30</v>
      </c>
      <c r="L475">
        <f t="shared" si="14"/>
        <v>776</v>
      </c>
      <c r="M475" t="str">
        <f t="shared" si="15"/>
        <v>20-29</v>
      </c>
    </row>
    <row r="476" spans="1:13">
      <c r="A476" s="1">
        <v>475</v>
      </c>
      <c r="B476">
        <v>128</v>
      </c>
      <c r="C476">
        <v>20</v>
      </c>
      <c r="D476" t="s">
        <v>18</v>
      </c>
      <c r="E476" t="s">
        <v>23</v>
      </c>
      <c r="F476">
        <v>821</v>
      </c>
      <c r="G476">
        <v>4</v>
      </c>
      <c r="H476" s="2">
        <v>44586</v>
      </c>
      <c r="I476">
        <v>43</v>
      </c>
      <c r="J476" t="s">
        <v>13</v>
      </c>
      <c r="K476" t="s">
        <v>17</v>
      </c>
      <c r="L476">
        <f t="shared" si="14"/>
        <v>3284</v>
      </c>
      <c r="M476" t="str">
        <f t="shared" si="15"/>
        <v>40-49</v>
      </c>
    </row>
    <row r="477" spans="1:13">
      <c r="A477" s="1">
        <v>476</v>
      </c>
      <c r="B477">
        <v>111</v>
      </c>
      <c r="C477">
        <v>45</v>
      </c>
      <c r="D477" t="s">
        <v>18</v>
      </c>
      <c r="E477" t="s">
        <v>23</v>
      </c>
      <c r="F477">
        <v>526</v>
      </c>
      <c r="G477">
        <v>4</v>
      </c>
      <c r="H477" s="2">
        <v>44706</v>
      </c>
      <c r="I477">
        <v>19</v>
      </c>
      <c r="J477" t="s">
        <v>13</v>
      </c>
      <c r="K477" t="s">
        <v>24</v>
      </c>
      <c r="L477">
        <f t="shared" si="14"/>
        <v>2104</v>
      </c>
      <c r="M477" t="str">
        <f t="shared" si="15"/>
        <v>Under 20</v>
      </c>
    </row>
    <row r="478" spans="1:13">
      <c r="A478" s="1">
        <v>477</v>
      </c>
      <c r="B478">
        <v>136</v>
      </c>
      <c r="C478">
        <v>7</v>
      </c>
      <c r="D478" t="s">
        <v>26</v>
      </c>
      <c r="E478" t="s">
        <v>12</v>
      </c>
      <c r="F478">
        <v>611</v>
      </c>
      <c r="G478">
        <v>2</v>
      </c>
      <c r="H478" s="2">
        <v>44574</v>
      </c>
      <c r="I478">
        <v>26</v>
      </c>
      <c r="J478" t="s">
        <v>16</v>
      </c>
      <c r="K478" t="s">
        <v>17</v>
      </c>
      <c r="L478">
        <f t="shared" si="14"/>
        <v>1222</v>
      </c>
      <c r="M478" t="str">
        <f t="shared" si="15"/>
        <v>20-29</v>
      </c>
    </row>
    <row r="479" spans="1:13">
      <c r="A479" s="1">
        <v>478</v>
      </c>
      <c r="B479">
        <v>106</v>
      </c>
      <c r="C479">
        <v>14</v>
      </c>
      <c r="D479" t="s">
        <v>27</v>
      </c>
      <c r="E479" t="s">
        <v>23</v>
      </c>
      <c r="F479">
        <v>416</v>
      </c>
      <c r="G479">
        <v>3</v>
      </c>
      <c r="H479" s="2">
        <v>44773</v>
      </c>
      <c r="I479">
        <v>26</v>
      </c>
      <c r="J479" t="s">
        <v>13</v>
      </c>
      <c r="K479" t="s">
        <v>20</v>
      </c>
      <c r="L479">
        <f t="shared" si="14"/>
        <v>1248</v>
      </c>
      <c r="M479" t="str">
        <f t="shared" si="15"/>
        <v>20-29</v>
      </c>
    </row>
    <row r="480" spans="1:13">
      <c r="A480" s="1">
        <v>479</v>
      </c>
      <c r="B480">
        <v>186</v>
      </c>
      <c r="C480">
        <v>9</v>
      </c>
      <c r="D480" t="s">
        <v>18</v>
      </c>
      <c r="E480" t="s">
        <v>19</v>
      </c>
      <c r="F480">
        <v>84</v>
      </c>
      <c r="G480">
        <v>3</v>
      </c>
      <c r="H480" s="2">
        <v>44586</v>
      </c>
      <c r="I480">
        <v>57</v>
      </c>
      <c r="J480" t="s">
        <v>13</v>
      </c>
      <c r="K480" t="s">
        <v>30</v>
      </c>
      <c r="L480">
        <f t="shared" si="14"/>
        <v>252</v>
      </c>
      <c r="M480" t="str">
        <f t="shared" si="15"/>
        <v>50-59</v>
      </c>
    </row>
    <row r="481" spans="1:13">
      <c r="A481" s="1">
        <v>480</v>
      </c>
      <c r="B481">
        <v>144</v>
      </c>
      <c r="C481">
        <v>19</v>
      </c>
      <c r="D481" t="s">
        <v>15</v>
      </c>
      <c r="E481" t="s">
        <v>19</v>
      </c>
      <c r="F481">
        <v>389</v>
      </c>
      <c r="G481">
        <v>3</v>
      </c>
      <c r="H481" s="2">
        <v>44629</v>
      </c>
      <c r="I481">
        <v>34</v>
      </c>
      <c r="J481" t="s">
        <v>16</v>
      </c>
      <c r="K481" t="s">
        <v>14</v>
      </c>
      <c r="L481">
        <f t="shared" si="14"/>
        <v>1167</v>
      </c>
      <c r="M481" t="str">
        <f t="shared" si="15"/>
        <v>30-39</v>
      </c>
    </row>
    <row r="482" spans="1:13">
      <c r="A482" s="1">
        <v>481</v>
      </c>
      <c r="B482">
        <v>72</v>
      </c>
      <c r="C482">
        <v>47</v>
      </c>
      <c r="D482" t="s">
        <v>29</v>
      </c>
      <c r="E482" t="s">
        <v>19</v>
      </c>
      <c r="F482">
        <v>526</v>
      </c>
      <c r="G482">
        <v>4</v>
      </c>
      <c r="H482" s="2">
        <v>44628</v>
      </c>
      <c r="I482">
        <v>18</v>
      </c>
      <c r="J482" t="s">
        <v>13</v>
      </c>
      <c r="K482" t="s">
        <v>17</v>
      </c>
      <c r="L482">
        <f t="shared" si="14"/>
        <v>2104</v>
      </c>
      <c r="M482" t="str">
        <f t="shared" si="15"/>
        <v>Under 20</v>
      </c>
    </row>
    <row r="483" spans="1:13">
      <c r="A483" s="1">
        <v>482</v>
      </c>
      <c r="B483">
        <v>129</v>
      </c>
      <c r="C483">
        <v>14</v>
      </c>
      <c r="D483" t="s">
        <v>29</v>
      </c>
      <c r="E483" t="s">
        <v>23</v>
      </c>
      <c r="F483">
        <v>841</v>
      </c>
      <c r="G483">
        <v>4</v>
      </c>
      <c r="H483" s="2">
        <v>44794</v>
      </c>
      <c r="I483">
        <v>42</v>
      </c>
      <c r="J483" t="s">
        <v>13</v>
      </c>
      <c r="K483" t="s">
        <v>20</v>
      </c>
      <c r="L483">
        <f t="shared" si="14"/>
        <v>3364</v>
      </c>
      <c r="M483" t="str">
        <f t="shared" si="15"/>
        <v>40-49</v>
      </c>
    </row>
    <row r="484" spans="1:13">
      <c r="A484" s="1">
        <v>483</v>
      </c>
      <c r="B484">
        <v>108</v>
      </c>
      <c r="C484">
        <v>38</v>
      </c>
      <c r="D484" t="s">
        <v>15</v>
      </c>
      <c r="E484" t="s">
        <v>19</v>
      </c>
      <c r="F484">
        <v>614</v>
      </c>
      <c r="G484">
        <v>4</v>
      </c>
      <c r="H484" s="2">
        <v>44670</v>
      </c>
      <c r="I484">
        <v>60</v>
      </c>
      <c r="J484" t="s">
        <v>13</v>
      </c>
      <c r="K484" t="s">
        <v>14</v>
      </c>
      <c r="L484">
        <f t="shared" si="14"/>
        <v>2456</v>
      </c>
      <c r="M484" t="str">
        <f t="shared" si="15"/>
        <v>Above 60</v>
      </c>
    </row>
    <row r="485" spans="1:13">
      <c r="A485" s="1">
        <v>484</v>
      </c>
      <c r="B485">
        <v>5</v>
      </c>
      <c r="C485">
        <v>36</v>
      </c>
      <c r="D485" t="s">
        <v>27</v>
      </c>
      <c r="E485" t="s">
        <v>23</v>
      </c>
      <c r="F485">
        <v>416</v>
      </c>
      <c r="G485">
        <v>1</v>
      </c>
      <c r="H485" s="2">
        <v>44707</v>
      </c>
      <c r="I485">
        <v>57</v>
      </c>
      <c r="J485" t="s">
        <v>16</v>
      </c>
      <c r="K485" t="s">
        <v>14</v>
      </c>
      <c r="L485">
        <f t="shared" si="14"/>
        <v>416</v>
      </c>
      <c r="M485" t="str">
        <f t="shared" si="15"/>
        <v>50-59</v>
      </c>
    </row>
    <row r="486" spans="1:13">
      <c r="A486" s="1">
        <v>485</v>
      </c>
      <c r="B486">
        <v>3</v>
      </c>
      <c r="C486">
        <v>40</v>
      </c>
      <c r="D486" t="s">
        <v>27</v>
      </c>
      <c r="E486" t="s">
        <v>19</v>
      </c>
      <c r="F486">
        <v>841</v>
      </c>
      <c r="G486">
        <v>2</v>
      </c>
      <c r="H486" s="2">
        <v>44672</v>
      </c>
      <c r="I486">
        <v>59</v>
      </c>
      <c r="J486" t="s">
        <v>16</v>
      </c>
      <c r="K486" t="s">
        <v>17</v>
      </c>
      <c r="L486">
        <f t="shared" si="14"/>
        <v>1682</v>
      </c>
      <c r="M486" t="str">
        <f t="shared" si="15"/>
        <v>50-59</v>
      </c>
    </row>
    <row r="487" spans="1:13">
      <c r="A487" s="1">
        <v>486</v>
      </c>
      <c r="B487">
        <v>193</v>
      </c>
      <c r="C487">
        <v>17</v>
      </c>
      <c r="D487" t="s">
        <v>26</v>
      </c>
      <c r="E487" t="s">
        <v>19</v>
      </c>
      <c r="F487">
        <v>776</v>
      </c>
      <c r="G487">
        <v>4</v>
      </c>
      <c r="H487" s="2">
        <v>44789</v>
      </c>
      <c r="I487">
        <v>42</v>
      </c>
      <c r="J487" t="s">
        <v>16</v>
      </c>
      <c r="K487" t="s">
        <v>24</v>
      </c>
      <c r="L487">
        <f t="shared" si="14"/>
        <v>3104</v>
      </c>
      <c r="M487" t="str">
        <f t="shared" si="15"/>
        <v>40-49</v>
      </c>
    </row>
    <row r="488" spans="1:13">
      <c r="A488" s="1">
        <v>487</v>
      </c>
      <c r="B488">
        <v>132</v>
      </c>
      <c r="C488">
        <v>30</v>
      </c>
      <c r="D488" t="s">
        <v>21</v>
      </c>
      <c r="E488" t="s">
        <v>19</v>
      </c>
      <c r="F488">
        <v>826</v>
      </c>
      <c r="G488">
        <v>2</v>
      </c>
      <c r="H488" s="2">
        <v>44672</v>
      </c>
      <c r="I488">
        <v>56</v>
      </c>
      <c r="J488" t="s">
        <v>16</v>
      </c>
      <c r="K488" t="s">
        <v>17</v>
      </c>
      <c r="L488">
        <f t="shared" si="14"/>
        <v>1652</v>
      </c>
      <c r="M488" t="str">
        <f t="shared" si="15"/>
        <v>50-59</v>
      </c>
    </row>
    <row r="489" spans="1:13">
      <c r="A489" s="1">
        <v>488</v>
      </c>
      <c r="B489">
        <v>104</v>
      </c>
      <c r="C489">
        <v>9</v>
      </c>
      <c r="D489" t="s">
        <v>11</v>
      </c>
      <c r="E489" t="s">
        <v>12</v>
      </c>
      <c r="F489">
        <v>841</v>
      </c>
      <c r="G489">
        <v>2</v>
      </c>
      <c r="H489" s="2">
        <v>44595</v>
      </c>
      <c r="I489">
        <v>52</v>
      </c>
      <c r="J489" t="s">
        <v>13</v>
      </c>
      <c r="K489" t="s">
        <v>20</v>
      </c>
      <c r="L489">
        <f t="shared" si="14"/>
        <v>1682</v>
      </c>
      <c r="M489" t="str">
        <f t="shared" si="15"/>
        <v>50-59</v>
      </c>
    </row>
    <row r="490" spans="1:13">
      <c r="A490" s="1">
        <v>489</v>
      </c>
      <c r="B490">
        <v>64</v>
      </c>
      <c r="C490">
        <v>33</v>
      </c>
      <c r="D490" t="s">
        <v>27</v>
      </c>
      <c r="E490" t="s">
        <v>23</v>
      </c>
      <c r="F490">
        <v>611</v>
      </c>
      <c r="G490">
        <v>3</v>
      </c>
      <c r="H490" s="2">
        <v>44672</v>
      </c>
      <c r="I490">
        <v>20</v>
      </c>
      <c r="J490" t="s">
        <v>16</v>
      </c>
      <c r="K490" t="s">
        <v>14</v>
      </c>
      <c r="L490">
        <f t="shared" si="14"/>
        <v>1833</v>
      </c>
      <c r="M490" t="str">
        <f t="shared" si="15"/>
        <v>20-29</v>
      </c>
    </row>
    <row r="491" spans="1:13">
      <c r="A491" s="1">
        <v>490</v>
      </c>
      <c r="B491">
        <v>106</v>
      </c>
      <c r="C491">
        <v>25</v>
      </c>
      <c r="D491" t="s">
        <v>28</v>
      </c>
      <c r="E491" t="s">
        <v>19</v>
      </c>
      <c r="F491">
        <v>774</v>
      </c>
      <c r="G491">
        <v>1</v>
      </c>
      <c r="H491" s="2">
        <v>44825</v>
      </c>
      <c r="I491">
        <v>54</v>
      </c>
      <c r="J491" t="s">
        <v>16</v>
      </c>
      <c r="K491" t="s">
        <v>17</v>
      </c>
      <c r="L491">
        <f t="shared" si="14"/>
        <v>774</v>
      </c>
      <c r="M491" t="str">
        <f t="shared" si="15"/>
        <v>50-59</v>
      </c>
    </row>
    <row r="492" spans="1:13">
      <c r="A492" s="1">
        <v>491</v>
      </c>
      <c r="B492">
        <v>98</v>
      </c>
      <c r="C492">
        <v>14</v>
      </c>
      <c r="D492" t="s">
        <v>26</v>
      </c>
      <c r="E492" t="s">
        <v>12</v>
      </c>
      <c r="F492">
        <v>871</v>
      </c>
      <c r="G492">
        <v>4</v>
      </c>
      <c r="H492" s="2">
        <v>44797</v>
      </c>
      <c r="I492">
        <v>61</v>
      </c>
      <c r="J492" t="s">
        <v>13</v>
      </c>
      <c r="K492" t="s">
        <v>24</v>
      </c>
      <c r="L492">
        <f t="shared" si="14"/>
        <v>3484</v>
      </c>
      <c r="M492" t="str">
        <f t="shared" si="15"/>
        <v>Above 60</v>
      </c>
    </row>
    <row r="493" spans="1:13">
      <c r="A493" s="1">
        <v>492</v>
      </c>
      <c r="B493">
        <v>10</v>
      </c>
      <c r="C493">
        <v>11</v>
      </c>
      <c r="D493" t="s">
        <v>31</v>
      </c>
      <c r="E493" t="s">
        <v>23</v>
      </c>
      <c r="F493">
        <v>614</v>
      </c>
      <c r="G493">
        <v>3</v>
      </c>
      <c r="H493" s="2">
        <v>44644</v>
      </c>
      <c r="I493">
        <v>61</v>
      </c>
      <c r="J493" t="s">
        <v>13</v>
      </c>
      <c r="K493" t="s">
        <v>17</v>
      </c>
      <c r="L493">
        <f t="shared" si="14"/>
        <v>1842</v>
      </c>
      <c r="M493" t="str">
        <f t="shared" si="15"/>
        <v>Above 60</v>
      </c>
    </row>
    <row r="494" spans="1:13">
      <c r="A494" s="1">
        <v>493</v>
      </c>
      <c r="B494">
        <v>149</v>
      </c>
      <c r="C494">
        <v>35</v>
      </c>
      <c r="D494" t="s">
        <v>25</v>
      </c>
      <c r="E494" t="s">
        <v>12</v>
      </c>
      <c r="F494">
        <v>130</v>
      </c>
      <c r="G494">
        <v>3</v>
      </c>
      <c r="H494" s="2">
        <v>44603</v>
      </c>
      <c r="I494">
        <v>47</v>
      </c>
      <c r="J494" t="s">
        <v>13</v>
      </c>
      <c r="K494" t="s">
        <v>30</v>
      </c>
      <c r="L494">
        <f t="shared" si="14"/>
        <v>390</v>
      </c>
      <c r="M494" t="str">
        <f t="shared" si="15"/>
        <v>40-49</v>
      </c>
    </row>
    <row r="495" spans="1:13">
      <c r="A495" s="1">
        <v>494</v>
      </c>
      <c r="B495">
        <v>128</v>
      </c>
      <c r="C495">
        <v>41</v>
      </c>
      <c r="D495" t="s">
        <v>31</v>
      </c>
      <c r="E495" t="s">
        <v>12</v>
      </c>
      <c r="F495">
        <v>779</v>
      </c>
      <c r="G495">
        <v>4</v>
      </c>
      <c r="H495" s="2">
        <v>44662</v>
      </c>
      <c r="I495">
        <v>55</v>
      </c>
      <c r="J495" t="s">
        <v>16</v>
      </c>
      <c r="K495" t="s">
        <v>24</v>
      </c>
      <c r="L495">
        <f t="shared" si="14"/>
        <v>3116</v>
      </c>
      <c r="M495" t="str">
        <f t="shared" si="15"/>
        <v>50-59</v>
      </c>
    </row>
    <row r="496" spans="1:13">
      <c r="A496" s="1">
        <v>495</v>
      </c>
      <c r="B496">
        <v>46</v>
      </c>
      <c r="C496">
        <v>14</v>
      </c>
      <c r="D496" t="s">
        <v>26</v>
      </c>
      <c r="E496" t="s">
        <v>19</v>
      </c>
      <c r="F496">
        <v>774</v>
      </c>
      <c r="G496">
        <v>2</v>
      </c>
      <c r="H496" s="2">
        <v>44567</v>
      </c>
      <c r="I496">
        <v>51</v>
      </c>
      <c r="J496" t="s">
        <v>16</v>
      </c>
      <c r="K496" t="s">
        <v>20</v>
      </c>
      <c r="L496">
        <f t="shared" si="14"/>
        <v>1548</v>
      </c>
      <c r="M496" t="str">
        <f t="shared" si="15"/>
        <v>50-59</v>
      </c>
    </row>
    <row r="497" spans="1:13">
      <c r="A497" s="1">
        <v>496</v>
      </c>
      <c r="B497">
        <v>155</v>
      </c>
      <c r="C497">
        <v>30</v>
      </c>
      <c r="D497" t="s">
        <v>18</v>
      </c>
      <c r="E497" t="s">
        <v>19</v>
      </c>
      <c r="F497">
        <v>251</v>
      </c>
      <c r="G497">
        <v>3</v>
      </c>
      <c r="H497" s="2">
        <v>44741</v>
      </c>
      <c r="I497">
        <v>29</v>
      </c>
      <c r="J497" t="s">
        <v>16</v>
      </c>
      <c r="K497" t="s">
        <v>14</v>
      </c>
      <c r="L497">
        <f t="shared" si="14"/>
        <v>753</v>
      </c>
      <c r="M497" t="str">
        <f t="shared" si="15"/>
        <v>20-29</v>
      </c>
    </row>
    <row r="498" spans="1:13">
      <c r="A498" s="1">
        <v>497</v>
      </c>
      <c r="B498">
        <v>66</v>
      </c>
      <c r="C498">
        <v>41</v>
      </c>
      <c r="D498" t="s">
        <v>11</v>
      </c>
      <c r="E498" t="s">
        <v>23</v>
      </c>
      <c r="F498">
        <v>526</v>
      </c>
      <c r="G498">
        <v>2</v>
      </c>
      <c r="H498" s="2">
        <v>44843</v>
      </c>
      <c r="I498">
        <v>36</v>
      </c>
      <c r="J498" t="s">
        <v>13</v>
      </c>
      <c r="K498" t="s">
        <v>17</v>
      </c>
      <c r="L498">
        <f t="shared" si="14"/>
        <v>1052</v>
      </c>
      <c r="M498" t="str">
        <f t="shared" si="15"/>
        <v>30-39</v>
      </c>
    </row>
    <row r="499" spans="1:13">
      <c r="A499" s="1">
        <v>498</v>
      </c>
      <c r="B499">
        <v>169</v>
      </c>
      <c r="C499">
        <v>4</v>
      </c>
      <c r="D499" t="s">
        <v>25</v>
      </c>
      <c r="E499" t="s">
        <v>19</v>
      </c>
      <c r="F499">
        <v>981</v>
      </c>
      <c r="G499">
        <v>1</v>
      </c>
      <c r="H499" s="2">
        <v>44881</v>
      </c>
      <c r="I499">
        <v>54</v>
      </c>
      <c r="J499" t="s">
        <v>13</v>
      </c>
      <c r="K499" t="s">
        <v>24</v>
      </c>
      <c r="L499">
        <f t="shared" si="14"/>
        <v>981</v>
      </c>
      <c r="M499" t="str">
        <f t="shared" si="15"/>
        <v>50-59</v>
      </c>
    </row>
    <row r="500" spans="1:13">
      <c r="A500" s="1">
        <v>499</v>
      </c>
      <c r="B500">
        <v>112</v>
      </c>
      <c r="C500">
        <v>4</v>
      </c>
      <c r="D500" t="s">
        <v>31</v>
      </c>
      <c r="E500" t="s">
        <v>12</v>
      </c>
      <c r="F500">
        <v>871</v>
      </c>
      <c r="G500">
        <v>2</v>
      </c>
      <c r="H500" s="2">
        <v>44787</v>
      </c>
      <c r="I500">
        <v>61</v>
      </c>
      <c r="J500" t="s">
        <v>16</v>
      </c>
      <c r="K500" t="s">
        <v>30</v>
      </c>
      <c r="L500">
        <f t="shared" si="14"/>
        <v>1742</v>
      </c>
      <c r="M500" t="str">
        <f t="shared" si="15"/>
        <v>Above 60</v>
      </c>
    </row>
    <row r="501" spans="1:13">
      <c r="A501" s="1">
        <v>500</v>
      </c>
      <c r="B501">
        <v>13</v>
      </c>
      <c r="C501">
        <v>28</v>
      </c>
      <c r="D501" t="s">
        <v>25</v>
      </c>
      <c r="E501" t="s">
        <v>23</v>
      </c>
      <c r="F501">
        <v>451</v>
      </c>
      <c r="G501">
        <v>1</v>
      </c>
      <c r="H501" s="2">
        <v>44876</v>
      </c>
      <c r="I501">
        <v>34</v>
      </c>
      <c r="J501" t="s">
        <v>13</v>
      </c>
      <c r="K501" t="s">
        <v>24</v>
      </c>
      <c r="L501">
        <f t="shared" si="14"/>
        <v>451</v>
      </c>
      <c r="M501" t="str">
        <f t="shared" si="15"/>
        <v>30-39</v>
      </c>
    </row>
  </sheetData>
  <autoFilter ref="A1:S501" xr:uid="{5B57CFB8-E6E5-4C4A-9B7A-1792B353CFC8}"/>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6282E-40AC-4249-A530-B8EDA9C6A2B5}">
  <dimension ref="A1:E4"/>
  <sheetViews>
    <sheetView workbookViewId="0">
      <selection activeCell="E4" sqref="E4"/>
    </sheetView>
  </sheetViews>
  <sheetFormatPr defaultRowHeight="14.5"/>
  <cols>
    <col min="1" max="2" width="12.453125" customWidth="1"/>
    <col min="3" max="3" width="14.453125" bestFit="1" customWidth="1"/>
    <col min="4" max="4" width="16.7265625" bestFit="1" customWidth="1"/>
    <col min="5" max="5" width="18.1796875" bestFit="1" customWidth="1"/>
  </cols>
  <sheetData>
    <row r="1" spans="1:5" s="4" customFormat="1">
      <c r="A1" s="5" t="s">
        <v>32</v>
      </c>
      <c r="B1" s="4" t="s">
        <v>34</v>
      </c>
      <c r="C1" s="4" t="s">
        <v>35</v>
      </c>
      <c r="D1" s="4" t="s">
        <v>36</v>
      </c>
      <c r="E1" s="4" t="s">
        <v>37</v>
      </c>
    </row>
    <row r="2" spans="1:5" s="6" customFormat="1">
      <c r="A2" s="6">
        <f>SUM('RAW DATA'!L:L)</f>
        <v>0</v>
      </c>
      <c r="B2" s="6">
        <f>COUNT('RAW DATA'!A:A)</f>
        <v>500</v>
      </c>
      <c r="C2" s="6">
        <v>183</v>
      </c>
      <c r="D2" s="6">
        <f>SUM('RAW DATA'!G:G)</f>
        <v>1287</v>
      </c>
      <c r="E2" s="7">
        <f>A2/D2</f>
        <v>0</v>
      </c>
    </row>
    <row r="4" spans="1:5" s="6" customFormat="1">
      <c r="A4" s="6">
        <v>731790</v>
      </c>
      <c r="B4" s="6">
        <v>500</v>
      </c>
      <c r="C4" s="6">
        <v>183</v>
      </c>
      <c r="D4" s="6">
        <v>1287</v>
      </c>
      <c r="E4" s="7">
        <v>568.60139860139861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B74A7-A323-45E4-9CE8-EA056CC0A893}">
  <dimension ref="A3:B15"/>
  <sheetViews>
    <sheetView topLeftCell="A17" workbookViewId="0">
      <selection activeCell="A19" sqref="A19:A23"/>
    </sheetView>
  </sheetViews>
  <sheetFormatPr defaultRowHeight="14.5"/>
  <cols>
    <col min="1" max="1" width="12.36328125" bestFit="1" customWidth="1"/>
    <col min="2" max="2" width="22.1796875" bestFit="1" customWidth="1"/>
  </cols>
  <sheetData>
    <row r="3" spans="1:2">
      <c r="A3" s="8" t="s">
        <v>54</v>
      </c>
      <c r="B3" t="s">
        <v>76</v>
      </c>
    </row>
    <row r="4" spans="1:2">
      <c r="A4" s="9" t="s">
        <v>44</v>
      </c>
      <c r="B4" s="14">
        <v>54020</v>
      </c>
    </row>
    <row r="5" spans="1:2">
      <c r="A5" s="9" t="s">
        <v>43</v>
      </c>
      <c r="B5" s="14">
        <v>61316</v>
      </c>
    </row>
    <row r="6" spans="1:2">
      <c r="A6" s="9" t="s">
        <v>47</v>
      </c>
      <c r="B6" s="14">
        <v>54013</v>
      </c>
    </row>
    <row r="7" spans="1:2">
      <c r="A7" s="9" t="s">
        <v>40</v>
      </c>
      <c r="B7" s="14">
        <v>65379</v>
      </c>
    </row>
    <row r="8" spans="1:2">
      <c r="A8" s="9" t="s">
        <v>48</v>
      </c>
      <c r="B8" s="14">
        <v>64927</v>
      </c>
    </row>
    <row r="9" spans="1:2">
      <c r="A9" s="9" t="s">
        <v>46</v>
      </c>
      <c r="B9" s="14">
        <v>64948</v>
      </c>
    </row>
    <row r="10" spans="1:2">
      <c r="A10" s="9" t="s">
        <v>45</v>
      </c>
      <c r="B10" s="14">
        <v>61130</v>
      </c>
    </row>
    <row r="11" spans="1:2">
      <c r="A11" s="9" t="s">
        <v>41</v>
      </c>
      <c r="B11" s="14">
        <v>96241</v>
      </c>
    </row>
    <row r="12" spans="1:2">
      <c r="A12" s="9" t="s">
        <v>51</v>
      </c>
      <c r="B12" s="14">
        <v>66313</v>
      </c>
    </row>
    <row r="13" spans="1:2">
      <c r="A13" s="9" t="s">
        <v>50</v>
      </c>
      <c r="B13" s="14">
        <v>51339</v>
      </c>
    </row>
    <row r="14" spans="1:2">
      <c r="A14" s="9" t="s">
        <v>49</v>
      </c>
      <c r="B14" s="14">
        <v>46723</v>
      </c>
    </row>
    <row r="15" spans="1:2">
      <c r="A15" s="9" t="s">
        <v>42</v>
      </c>
      <c r="B15" s="14">
        <v>45441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396394-96EC-4EFB-972B-23E9FE9C8A9F}">
  <dimension ref="A3:C10"/>
  <sheetViews>
    <sheetView workbookViewId="0">
      <selection activeCell="C13" sqref="C13"/>
    </sheetView>
  </sheetViews>
  <sheetFormatPr defaultRowHeight="14.5"/>
  <cols>
    <col min="1" max="1" width="14.36328125" bestFit="1" customWidth="1"/>
    <col min="2" max="2" width="15.26953125" bestFit="1" customWidth="1"/>
    <col min="3" max="3" width="5.36328125" bestFit="1" customWidth="1"/>
    <col min="4" max="4" width="10.7265625" bestFit="1" customWidth="1"/>
  </cols>
  <sheetData>
    <row r="3" spans="1:3">
      <c r="A3" s="8" t="s">
        <v>56</v>
      </c>
      <c r="B3" s="8" t="s">
        <v>64</v>
      </c>
    </row>
    <row r="4" spans="1:3">
      <c r="A4" s="8" t="s">
        <v>54</v>
      </c>
      <c r="B4" t="s">
        <v>13</v>
      </c>
      <c r="C4" t="s">
        <v>16</v>
      </c>
    </row>
    <row r="5" spans="1:3">
      <c r="A5" s="9" t="s">
        <v>66</v>
      </c>
      <c r="B5" s="17">
        <v>44079</v>
      </c>
      <c r="C5" s="17">
        <v>36583</v>
      </c>
    </row>
    <row r="6" spans="1:3">
      <c r="A6" s="9" t="s">
        <v>65</v>
      </c>
      <c r="B6" s="17">
        <v>71427</v>
      </c>
      <c r="C6" s="17">
        <v>99369</v>
      </c>
    </row>
    <row r="7" spans="1:3">
      <c r="A7" s="9" t="s">
        <v>62</v>
      </c>
      <c r="B7" s="17">
        <v>70373</v>
      </c>
      <c r="C7" s="17">
        <v>88946</v>
      </c>
    </row>
    <row r="8" spans="1:3">
      <c r="A8" s="9" t="s">
        <v>61</v>
      </c>
      <c r="B8" s="17">
        <v>54728</v>
      </c>
      <c r="C8" s="17">
        <v>60450</v>
      </c>
    </row>
    <row r="9" spans="1:3">
      <c r="A9" s="9" t="s">
        <v>60</v>
      </c>
      <c r="B9" s="17">
        <v>76210</v>
      </c>
      <c r="C9" s="17">
        <v>89162</v>
      </c>
    </row>
    <row r="10" spans="1:3">
      <c r="A10" s="9" t="s">
        <v>63</v>
      </c>
      <c r="B10" s="17">
        <v>23340</v>
      </c>
      <c r="C10" s="17">
        <v>17123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4B0BF-80E9-4FC4-BAE2-94EE4CFA0EF8}">
  <dimension ref="A3:B14"/>
  <sheetViews>
    <sheetView workbookViewId="0">
      <selection activeCell="D11" sqref="D11"/>
    </sheetView>
  </sheetViews>
  <sheetFormatPr defaultRowHeight="14.5"/>
  <cols>
    <col min="1" max="1" width="12.36328125" bestFit="1" customWidth="1"/>
    <col min="2" max="2" width="16.26953125" bestFit="1" customWidth="1"/>
  </cols>
  <sheetData>
    <row r="3" spans="1:2">
      <c r="A3" s="8" t="s">
        <v>54</v>
      </c>
      <c r="B3" t="s">
        <v>79</v>
      </c>
    </row>
    <row r="4" spans="1:2">
      <c r="A4" s="9" t="s">
        <v>25</v>
      </c>
      <c r="B4" s="14">
        <v>56332</v>
      </c>
    </row>
    <row r="5" spans="1:2">
      <c r="A5" s="9" t="s">
        <v>31</v>
      </c>
      <c r="B5" s="14">
        <v>61134</v>
      </c>
    </row>
    <row r="6" spans="1:2">
      <c r="A6" s="9" t="s">
        <v>15</v>
      </c>
      <c r="B6" s="14">
        <v>62988</v>
      </c>
    </row>
    <row r="7" spans="1:2">
      <c r="A7" s="9" t="s">
        <v>29</v>
      </c>
      <c r="B7" s="14">
        <v>64234</v>
      </c>
    </row>
    <row r="8" spans="1:2">
      <c r="A8" s="9" t="s">
        <v>18</v>
      </c>
      <c r="B8" s="14">
        <v>67553</v>
      </c>
    </row>
    <row r="9" spans="1:2">
      <c r="A9" s="9" t="s">
        <v>21</v>
      </c>
      <c r="B9" s="14">
        <v>68625</v>
      </c>
    </row>
    <row r="10" spans="1:2">
      <c r="A10" s="9" t="s">
        <v>28</v>
      </c>
      <c r="B10" s="14">
        <v>77642</v>
      </c>
    </row>
    <row r="11" spans="1:2">
      <c r="A11" s="9" t="s">
        <v>11</v>
      </c>
      <c r="B11" s="14">
        <v>78999</v>
      </c>
    </row>
    <row r="12" spans="1:2">
      <c r="A12" s="9" t="s">
        <v>27</v>
      </c>
      <c r="B12" s="14">
        <v>95243</v>
      </c>
    </row>
    <row r="13" spans="1:2">
      <c r="A13" s="9" t="s">
        <v>26</v>
      </c>
      <c r="B13" s="14">
        <v>99040</v>
      </c>
    </row>
    <row r="14" spans="1:2">
      <c r="A14" s="9" t="s">
        <v>55</v>
      </c>
      <c r="B14">
        <v>731790</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B836AD-6BAE-4E44-91C6-977B0ED13AA2}">
  <dimension ref="A3:I16"/>
  <sheetViews>
    <sheetView workbookViewId="0">
      <selection activeCell="B6" sqref="B6"/>
    </sheetView>
  </sheetViews>
  <sheetFormatPr defaultRowHeight="14.5"/>
  <cols>
    <col min="1" max="1" width="12.36328125" bestFit="1" customWidth="1"/>
    <col min="2" max="2" width="14.36328125" bestFit="1" customWidth="1"/>
    <col min="6" max="6" width="36.08984375" bestFit="1" customWidth="1"/>
    <col min="7" max="7" width="9.90625" customWidth="1"/>
  </cols>
  <sheetData>
    <row r="3" spans="1:9">
      <c r="A3" s="8" t="s">
        <v>54</v>
      </c>
      <c r="B3" t="s">
        <v>56</v>
      </c>
    </row>
    <row r="4" spans="1:9">
      <c r="A4" s="9">
        <v>149</v>
      </c>
      <c r="B4">
        <v>19459</v>
      </c>
      <c r="F4" t="s">
        <v>57</v>
      </c>
      <c r="G4">
        <v>147115</v>
      </c>
    </row>
    <row r="5" spans="1:9">
      <c r="A5" s="9">
        <v>130</v>
      </c>
      <c r="B5">
        <v>15888</v>
      </c>
      <c r="F5" t="s">
        <v>58</v>
      </c>
      <c r="G5">
        <f>I6-G4</f>
        <v>584675</v>
      </c>
    </row>
    <row r="6" spans="1:9">
      <c r="A6" s="9">
        <v>180</v>
      </c>
      <c r="B6">
        <v>13962</v>
      </c>
      <c r="I6" s="6">
        <v>731790</v>
      </c>
    </row>
    <row r="7" spans="1:9">
      <c r="A7" s="9">
        <v>144</v>
      </c>
      <c r="B7">
        <v>12471</v>
      </c>
    </row>
    <row r="8" spans="1:9">
      <c r="A8" s="9">
        <v>32</v>
      </c>
      <c r="B8">
        <v>11691</v>
      </c>
    </row>
    <row r="9" spans="1:9">
      <c r="A9" s="9">
        <v>141</v>
      </c>
      <c r="B9">
        <v>11360</v>
      </c>
    </row>
    <row r="10" spans="1:9">
      <c r="A10" s="9">
        <v>10</v>
      </c>
      <c r="B10">
        <v>11080</v>
      </c>
    </row>
    <row r="11" spans="1:9">
      <c r="A11" s="9">
        <v>97</v>
      </c>
      <c r="B11">
        <v>10897</v>
      </c>
    </row>
    <row r="12" spans="1:9">
      <c r="A12" s="9">
        <v>60</v>
      </c>
      <c r="B12">
        <v>10501</v>
      </c>
    </row>
    <row r="13" spans="1:9">
      <c r="A13" s="9">
        <v>2</v>
      </c>
      <c r="B13">
        <v>10105</v>
      </c>
    </row>
    <row r="14" spans="1:9">
      <c r="A14" s="9">
        <v>164</v>
      </c>
      <c r="B14">
        <v>9997</v>
      </c>
    </row>
    <row r="15" spans="1:9">
      <c r="A15" s="9">
        <v>108</v>
      </c>
      <c r="B15">
        <v>9704</v>
      </c>
    </row>
    <row r="16" spans="1:9">
      <c r="A16" s="9" t="s">
        <v>55</v>
      </c>
      <c r="B16">
        <v>147115</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30D04-3737-4BED-AF43-2052C5B48068}">
  <dimension ref="A3:A7"/>
  <sheetViews>
    <sheetView workbookViewId="0">
      <selection activeCell="D6" sqref="D6"/>
    </sheetView>
  </sheetViews>
  <sheetFormatPr defaultRowHeight="14.5"/>
  <cols>
    <col min="1" max="1" width="12.36328125" bestFit="1" customWidth="1"/>
  </cols>
  <sheetData>
    <row r="3" spans="1:1">
      <c r="A3" s="8" t="s">
        <v>54</v>
      </c>
    </row>
    <row r="4" spans="1:1">
      <c r="A4" s="9" t="s">
        <v>81</v>
      </c>
    </row>
    <row r="5" spans="1:1">
      <c r="A5" s="9" t="s">
        <v>75</v>
      </c>
    </row>
    <row r="6" spans="1:1">
      <c r="A6" s="9" t="s">
        <v>82</v>
      </c>
    </row>
    <row r="7" spans="1:1">
      <c r="A7" s="9" t="s">
        <v>83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27376-8E40-49F2-93F0-9B64DB82DDFA}">
  <dimension ref="A3:B8"/>
  <sheetViews>
    <sheetView workbookViewId="0">
      <selection activeCell="C11" sqref="C11"/>
    </sheetView>
  </sheetViews>
  <sheetFormatPr defaultRowHeight="14.5"/>
  <cols>
    <col min="1" max="1" width="12.36328125" bestFit="1" customWidth="1"/>
    <col min="2" max="2" width="17.7265625" bestFit="1" customWidth="1"/>
  </cols>
  <sheetData>
    <row r="3" spans="1:2">
      <c r="A3" s="8" t="s">
        <v>54</v>
      </c>
      <c r="B3" t="s">
        <v>80</v>
      </c>
    </row>
    <row r="4" spans="1:2">
      <c r="A4" s="9" t="s">
        <v>74</v>
      </c>
      <c r="B4">
        <v>13</v>
      </c>
    </row>
    <row r="5" spans="1:2">
      <c r="A5" s="9" t="s">
        <v>73</v>
      </c>
      <c r="B5">
        <v>7</v>
      </c>
    </row>
    <row r="6" spans="1:2">
      <c r="A6" s="9" t="s">
        <v>72</v>
      </c>
      <c r="B6">
        <v>7</v>
      </c>
    </row>
    <row r="7" spans="1:2">
      <c r="A7" s="9" t="s">
        <v>70</v>
      </c>
      <c r="B7">
        <v>6</v>
      </c>
    </row>
    <row r="8" spans="1:2">
      <c r="A8" s="9" t="s">
        <v>71</v>
      </c>
      <c r="B8">
        <v>6</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Final Dashboard</vt:lpstr>
      <vt:lpstr>RAW DATA</vt:lpstr>
      <vt:lpstr>Clean Data</vt:lpstr>
      <vt:lpstr>KPI</vt:lpstr>
      <vt:lpstr>Monthly Sales Analysis</vt:lpstr>
      <vt:lpstr>Age Group Analysis</vt:lpstr>
      <vt:lpstr>Sales(Product) 2</vt:lpstr>
      <vt:lpstr>Top 20% Customers</vt:lpstr>
      <vt:lpstr>Quarter</vt:lpstr>
      <vt:lpstr>Repeated Customers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Anshit Agrawal</dc:creator>
  <cp:lastModifiedBy>Anshit Agrawal</cp:lastModifiedBy>
  <cp:lastPrinted>2026-01-29T06:25:43Z</cp:lastPrinted>
  <dcterms:created xsi:type="dcterms:W3CDTF">2026-01-27T07:04:15Z</dcterms:created>
  <dcterms:modified xsi:type="dcterms:W3CDTF">2026-01-29T08:42:37Z</dcterms:modified>
</cp:coreProperties>
</file>